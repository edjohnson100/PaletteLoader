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Template (Duplicate Me)" sheetId="2" r:id="rId5"/>
    <sheet state="visible" name="BL-BasicPLA" sheetId="3" r:id="rId6"/>
    <sheet state="visible" name="BL-HF PETG" sheetId="4" r:id="rId7"/>
    <sheet state="visible" name="BL-MattePLA" sheetId="5" r:id="rId8"/>
    <sheet state="visible" name="BL-SilkPLA" sheetId="6" r:id="rId9"/>
    <sheet state="visible" name="BL-TranslucentPETG" sheetId="7" r:id="rId10"/>
  </sheets>
  <definedNames/>
  <calcPr/>
</workbook>
</file>

<file path=xl/sharedStrings.xml><?xml version="1.0" encoding="utf-8"?>
<sst xmlns="http://schemas.openxmlformats.org/spreadsheetml/2006/main" count="390" uniqueCount="182">
  <si>
    <t>Fusion Custom Colors</t>
  </si>
  <si>
    <t>This is a companion to the "Custom Colors" Python script for Autodesk Fusion that will read a CSV file with a list of custom colors you want to add to your design. This spreadsheet contains info on the CSV files formats accepted and some sample data with a bunch of Bambu Lab filament colors to get you started.</t>
  </si>
  <si>
    <t xml:space="preserve">You can find the script and my other Fusion scripts and add-in on my GitHub page: </t>
  </si>
  <si>
    <t>https://github.com/edjohnson100</t>
  </si>
  <si>
    <t>Save a copy of this spreadsheet for yourself or use your favorite spreadsheet or text editor to make a CSV file with the same fields as show here.</t>
  </si>
  <si>
    <r>
      <rPr>
        <rFont val="Arial"/>
        <color rgb="FFFF0000"/>
        <sz val="12.0"/>
      </rPr>
      <t xml:space="preserve">To save a CSV file, activate the sheet you want to export and select </t>
    </r>
    <r>
      <rPr>
        <rFont val="Arial"/>
        <b/>
        <color rgb="FFFF0000"/>
        <sz val="12.0"/>
      </rPr>
      <t>FIle &gt; Download &gt; Comma Seperated Values (CSV)</t>
    </r>
  </si>
  <si>
    <t>Field Name</t>
  </si>
  <si>
    <t>Description</t>
  </si>
  <si>
    <t>Notes</t>
  </si>
  <si>
    <t>FusionCopyColor</t>
  </si>
  <si>
    <t>Any valid appearance in the
"Fusion Appearance Library"</t>
  </si>
  <si>
    <t>This color will be copied and edited by the script to rename and apply the new color value.</t>
  </si>
  <si>
    <t>NewColorName</t>
  </si>
  <si>
    <t>The name of your new custom color (displayed when you hover over the appearance icon)</t>
  </si>
  <si>
    <t>I like to incorporate filament type and mfg. color name.</t>
  </si>
  <si>
    <t>Hex</t>
  </si>
  <si>
    <t>The hex code color value of your new color</t>
  </si>
  <si>
    <t>Most manufacturers have this info on their website</t>
  </si>
  <si>
    <t>R</t>
  </si>
  <si>
    <t>The red value of the RGBA color</t>
  </si>
  <si>
    <t>These fields are optional. If you only have hex color values, you can skip adding these to the file.
Fusion uses RBGA colors so the spreadsheet sample data calculates them from the hex code value.
You can enter these manually if you have them. If you use the template, the spreadsheet will calculate them from the hex code for you.</t>
  </si>
  <si>
    <t>G</t>
  </si>
  <si>
    <t>The green value of the RGBA color</t>
  </si>
  <si>
    <t>B</t>
  </si>
  <si>
    <t>The blue value of the RGBA color</t>
  </si>
  <si>
    <t>A</t>
  </si>
  <si>
    <t>The opacity value of the RGBA color
(this is required, but does not affect the color)</t>
  </si>
  <si>
    <t>CVS File Format Sample Data</t>
  </si>
  <si>
    <t>The Fusion Python script can parse two different CSV file formats. Both formats require a first row with field names (names can be anything - it's for your reference and clarity).</t>
  </si>
  <si>
    <t>Fusion uses RGBA color values internally, but you can provide just the hex color code and let the script to the conversion.</t>
  </si>
  <si>
    <r>
      <rPr>
        <rFont val="Arial"/>
        <b/>
        <i/>
        <color theme="1"/>
        <sz val="9.0"/>
      </rPr>
      <t xml:space="preserve">NOTE 1: </t>
    </r>
    <r>
      <rPr>
        <rFont val="Arial"/>
        <i/>
        <color theme="1"/>
        <sz val="9.0"/>
      </rPr>
      <t>The script even allows you to mix and match the short and long format in the same data file!</t>
    </r>
  </si>
  <si>
    <r>
      <rPr>
        <rFont val="Arial"/>
        <b/>
        <i/>
        <color theme="1"/>
        <sz val="9.0"/>
      </rPr>
      <t>NOTE 2:</t>
    </r>
    <r>
      <rPr>
        <rFont val="Arial"/>
        <i/>
        <color theme="1"/>
        <sz val="9.0"/>
      </rPr>
      <t xml:space="preserve"> If you use an Appearance that needs to be downloaded, I found that you have to download the appearance and then restart Fusion for the script to recognize the appearance name as valid. For example, I downloaded "Powder Coat (White)" and the script kept failing until I restarted Fusion..</t>
    </r>
  </si>
  <si>
    <r>
      <rPr>
        <rFont val="Arial"/>
        <b/>
        <i/>
        <color theme="1"/>
        <sz val="12.0"/>
      </rPr>
      <t xml:space="preserve">Short Format </t>
    </r>
    <r>
      <rPr>
        <rFont val="Arial"/>
        <b val="0"/>
        <i val="0"/>
        <color theme="1"/>
        <sz val="10.0"/>
      </rPr>
      <t>(leading '#" not required, but is best practice for clarity)</t>
    </r>
  </si>
  <si>
    <t>Plastic - Glossy (White)</t>
  </si>
  <si>
    <t>BasicPLA (Jade White)</t>
  </si>
  <si>
    <t>#FFFFFF</t>
  </si>
  <si>
    <t>BasicPLA (Beige)</t>
  </si>
  <si>
    <t>#F7E6DE</t>
  </si>
  <si>
    <t>BasicPLA (Gold)</t>
  </si>
  <si>
    <t>#E4BD68</t>
  </si>
  <si>
    <t>Plastic - Translucent Glossy (White)</t>
  </si>
  <si>
    <t>TransPETG Gray</t>
  </si>
  <si>
    <t>#8E8E8E</t>
  </si>
  <si>
    <t>TransPETG Light Blue</t>
  </si>
  <si>
    <t>#61B0FF</t>
  </si>
  <si>
    <t>TransPETG Olive</t>
  </si>
  <si>
    <t>#748C45</t>
  </si>
  <si>
    <t>etstBlue</t>
  </si>
  <si>
    <t>#1F79E5</t>
  </si>
  <si>
    <t>etsyLight Green</t>
  </si>
  <si>
    <t>#C4D600</t>
  </si>
  <si>
    <t>etsyLime Green</t>
  </si>
  <si>
    <t>#6EE53C</t>
  </si>
  <si>
    <t>etsyMagenta</t>
  </si>
  <si>
    <t>#C6007E</t>
  </si>
  <si>
    <t>Powder Coat (White)</t>
  </si>
  <si>
    <t>MattePLA (White)</t>
  </si>
  <si>
    <t>Matte PLA (Blue)</t>
  </si>
  <si>
    <t>#0A2989</t>
  </si>
  <si>
    <t>Matte PLA (Light Green)</t>
  </si>
  <si>
    <t>Matte PLA (Lime Green)</t>
  </si>
  <si>
    <t>If you want to use RGBA values, the Hex field is required (it can be anything - even an empty field), but it is only used for reference in the script.</t>
  </si>
  <si>
    <t>Long Format</t>
  </si>
  <si>
    <t>Plastic - Matte (White)</t>
  </si>
  <si>
    <t>MattePLA (Ivory White)</t>
  </si>
  <si>
    <t>MattePLA (Latte Brown)</t>
  </si>
  <si>
    <t>#D3B7A7</t>
  </si>
  <si>
    <t>MattePLA (Desert Tan)</t>
  </si>
  <si>
    <t>#E8DBB7</t>
  </si>
  <si>
    <t>MattePLA (Ash Gray)</t>
  </si>
  <si>
    <t>#9B9EA0</t>
  </si>
  <si>
    <t>MattePLA (Lilac Purple)</t>
  </si>
  <si>
    <t>#AE96D4</t>
  </si>
  <si>
    <t>MattePLA (Sakura Pink)</t>
  </si>
  <si>
    <t>#E8AFCF</t>
  </si>
  <si>
    <t>MattePLA (Mandarin Orange)</t>
  </si>
  <si>
    <t>#F99963</t>
  </si>
  <si>
    <t>MattePLA (Lemon Yellow)</t>
  </si>
  <si>
    <t>#F7D959</t>
  </si>
  <si>
    <t>MattePLA (Scarlet Red)</t>
  </si>
  <si>
    <t>#DE4343</t>
  </si>
  <si>
    <t>MattePLA (Dark Red)</t>
  </si>
  <si>
    <t>#BB3D43</t>
  </si>
  <si>
    <t>MattePLA (Dark Brown)</t>
  </si>
  <si>
    <t>#7D6556</t>
  </si>
  <si>
    <t>MattePLA (Dark Green)</t>
  </si>
  <si>
    <t>#68724D</t>
  </si>
  <si>
    <t>MattePLA (Grass Green)</t>
  </si>
  <si>
    <t>#61C680</t>
  </si>
  <si>
    <t>MattePLA (Ice Blue)</t>
  </si>
  <si>
    <t>#A3D8E1</t>
  </si>
  <si>
    <t>MattePLA (Marine Blue)</t>
  </si>
  <si>
    <t>#0078BF</t>
  </si>
  <si>
    <t>MattePLA (Dark Blue)</t>
  </si>
  <si>
    <t>#042F56</t>
  </si>
  <si>
    <t>MattePLA (Charcoal)</t>
  </si>
  <si>
    <t>#000000</t>
  </si>
  <si>
    <t>BasicPLA (Silver)</t>
  </si>
  <si>
    <t>#A6A9AA</t>
  </si>
  <si>
    <t>BasicPLA (Gray)</t>
  </si>
  <si>
    <t>#8E9089</t>
  </si>
  <si>
    <t>BasicPLA (Bronze)</t>
  </si>
  <si>
    <t>#847D48</t>
  </si>
  <si>
    <t>BasicPLA (Brown)</t>
  </si>
  <si>
    <t>#9D432C</t>
  </si>
  <si>
    <t>BasicPLA (Red)</t>
  </si>
  <si>
    <t>#C12E1F</t>
  </si>
  <si>
    <t>BasicPLA (Magenta)</t>
  </si>
  <si>
    <t>#EC008C</t>
  </si>
  <si>
    <t>BasicPLA (Pink)</t>
  </si>
  <si>
    <t>#F55A74</t>
  </si>
  <si>
    <t>BasicPLA (Orange)</t>
  </si>
  <si>
    <t>#FF6A13</t>
  </si>
  <si>
    <t>BasicPLA (Yellow)</t>
  </si>
  <si>
    <t>#F4EE2A</t>
  </si>
  <si>
    <t>BasicPLA (Bambu Green)</t>
  </si>
  <si>
    <t>#00AE42</t>
  </si>
  <si>
    <t>BasicPLA (Mistletoe Green)</t>
  </si>
  <si>
    <t>#3F8E43</t>
  </si>
  <si>
    <t>BasicPLA (Cyan)</t>
  </si>
  <si>
    <t>#0086D6</t>
  </si>
  <si>
    <t>BasicPLA (Blue)</t>
  </si>
  <si>
    <t>BasicPLA (Purple)</t>
  </si>
  <si>
    <t>#5E43B7</t>
  </si>
  <si>
    <t>BasicPLA (Blue Gray)</t>
  </si>
  <si>
    <t>#5B6579</t>
  </si>
  <si>
    <t>BasicPLA (Light Gray)</t>
  </si>
  <si>
    <t>#D1D3D5</t>
  </si>
  <si>
    <t>BasicPLA (Dark Gray)</t>
  </si>
  <si>
    <t>#545454</t>
  </si>
  <si>
    <t>BasicPLA (Black)</t>
  </si>
  <si>
    <t>Plastic - Translucent Matte (White)</t>
  </si>
  <si>
    <t>PETG-HF (Yellow)</t>
  </si>
  <si>
    <t>#FFD00B</t>
  </si>
  <si>
    <t>PETG-HF (Orange)</t>
  </si>
  <si>
    <t>#F75403</t>
  </si>
  <si>
    <t>PETG-HF (Green)</t>
  </si>
  <si>
    <t>PETG-HF (Red)</t>
  </si>
  <si>
    <t>#EB3A3A</t>
  </si>
  <si>
    <t>PETG-HF (Blue)</t>
  </si>
  <si>
    <t>#002E96</t>
  </si>
  <si>
    <t>PETG-HF (Black)</t>
  </si>
  <si>
    <t>PETG-HF (White)</t>
  </si>
  <si>
    <t>PETG-HF (Cream)</t>
  </si>
  <si>
    <t>#F9DFB9</t>
  </si>
  <si>
    <t>PETG-HF (Lime Green)</t>
  </si>
  <si>
    <t>PETG-HF (Forest Green)</t>
  </si>
  <si>
    <t>#39541A</t>
  </si>
  <si>
    <t>PETG-HF (Lake Blue)</t>
  </si>
  <si>
    <t>PETG-HF (Peanut Brown)</t>
  </si>
  <si>
    <t>#875718</t>
  </si>
  <si>
    <t>PETG-HF (Gray)</t>
  </si>
  <si>
    <t>#ADB1B2</t>
  </si>
  <si>
    <t>PETG-HF (Dark Gray)</t>
  </si>
  <si>
    <t>#515151</t>
  </si>
  <si>
    <t>SilkPLA (White)</t>
  </si>
  <si>
    <t>SilkPLA (Silver)</t>
  </si>
  <si>
    <t>#EAECEB</t>
  </si>
  <si>
    <t>SilkPLA (Pink)</t>
  </si>
  <si>
    <t>#EEB1C1</t>
  </si>
  <si>
    <t>SilkPLA (Green)</t>
  </si>
  <si>
    <t>#4CE4A0</t>
  </si>
  <si>
    <t>SilkPLA (Gold)</t>
  </si>
  <si>
    <t>#E5B03D</t>
  </si>
  <si>
    <t>SilkPLA (Blue)</t>
  </si>
  <si>
    <t>#147BD1</t>
  </si>
  <si>
    <t>SilkPLA (Purple)</t>
  </si>
  <si>
    <t>#854CE4</t>
  </si>
  <si>
    <t>SilkPLA (Copper)</t>
  </si>
  <si>
    <t>#5E4B3C</t>
  </si>
  <si>
    <t>TransPETG Brown</t>
  </si>
  <si>
    <t>#C9A381</t>
  </si>
  <si>
    <t>TransPETG Teal</t>
  </si>
  <si>
    <t>#77EDD7</t>
  </si>
  <si>
    <t>TransPETG Orange</t>
  </si>
  <si>
    <t>#FF911A</t>
  </si>
  <si>
    <t>TransPETG Purple</t>
  </si>
  <si>
    <t>#D6ABFF</t>
  </si>
  <si>
    <t>TransPETG Pink</t>
  </si>
  <si>
    <t>#F9C1BD</t>
  </si>
  <si>
    <t>TransPETG Clear</t>
  </si>
  <si>
    <t>#FAFAFA</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</si>
</sst>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sz val="24.0"/>
      <color theme="1"/>
      <name val="Arial"/>
      <scheme val="minor"/>
    </font>
    <font/>
    <font>
      <color theme="1"/>
      <name val="Arial"/>
      <scheme val="minor"/>
    </font>
    <font>
      <b/>
      <i/>
      <color theme="1"/>
      <name val="Arial"/>
      <scheme val="minor"/>
    </font>
    <font>
      <b/>
      <u/>
      <sz val="12.0"/>
      <color rgb="FF0000FF"/>
    </font>
    <font>
      <sz val="12.0"/>
      <color rgb="FFFF0000"/>
      <name val="Arial"/>
      <scheme val="minor"/>
    </font>
    <font>
      <b/>
      <i/>
      <sz val="12.0"/>
      <color theme="1"/>
      <name val="Arial"/>
      <scheme val="minor"/>
    </font>
    <font>
      <b/>
      <color theme="1"/>
      <name val="Arial"/>
      <scheme val="minor"/>
    </font>
    <font>
      <i/>
      <color theme="1"/>
      <name val="Arial"/>
      <scheme val="minor"/>
    </font>
    <font>
      <sz val="16.0"/>
      <color theme="1"/>
      <name val="Arial"/>
      <scheme val="minor"/>
    </font>
    <font>
      <sz val="12.0"/>
      <color theme="1"/>
      <name val="Arial"/>
      <scheme val="minor"/>
    </font>
    <font>
      <i/>
      <sz val="9.0"/>
      <color theme="1"/>
      <name val="Arial"/>
      <scheme val="minor"/>
    </font>
  </fonts>
  <fills count="3">
    <fill>
      <patternFill patternType="none"/>
    </fill>
    <fill>
      <patternFill patternType="lightGray"/>
    </fill>
    <fill>
      <patternFill patternType="solid">
        <fgColor rgb="FFFFFF00"/>
        <bgColor rgb="FFFFFF00"/>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2" fillId="0" fontId="5" numFmtId="0" xfId="0" applyAlignment="1" applyBorder="1" applyFont="1">
      <alignment horizontal="center" readingOrder="0" shrinkToFit="0" vertical="center" wrapText="1"/>
    </xf>
    <xf borderId="1" fillId="2" fontId="6" numFmtId="0" xfId="0" applyAlignment="1" applyBorder="1" applyFill="1" applyFont="1">
      <alignment horizontal="center" readingOrder="0" shrinkToFit="0" vertical="center" wrapText="1"/>
    </xf>
    <xf borderId="4" fillId="0" fontId="7" numFmtId="0" xfId="0" applyAlignment="1" applyBorder="1" applyFont="1">
      <alignment horizontal="center" readingOrder="0" vertical="center"/>
    </xf>
    <xf borderId="1" fillId="0" fontId="7" numFmtId="0" xfId="0" applyAlignment="1" applyBorder="1" applyFont="1">
      <alignment readingOrder="0" vertical="center"/>
    </xf>
    <xf borderId="4" fillId="0" fontId="8" numFmtId="0" xfId="0" applyAlignment="1" applyBorder="1" applyFont="1">
      <alignment horizontal="center" readingOrder="0" vertical="center"/>
    </xf>
    <xf borderId="1" fillId="0" fontId="3" numFmtId="0" xfId="0" applyAlignment="1" applyBorder="1" applyFont="1">
      <alignment readingOrder="0" shrinkToFit="0" vertical="center" wrapText="1"/>
    </xf>
    <xf borderId="1" fillId="0" fontId="9" numFmtId="0" xfId="0" applyAlignment="1" applyBorder="1" applyFont="1">
      <alignment readingOrder="0" shrinkToFit="0" vertical="center" wrapText="1"/>
    </xf>
    <xf borderId="5" fillId="0" fontId="9" numFmtId="0" xfId="0" applyAlignment="1" applyBorder="1" applyFont="1">
      <alignment readingOrder="0"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0" fillId="0" fontId="10" numFmtId="0" xfId="0" applyAlignment="1" applyFont="1">
      <alignment readingOrder="0" vertical="center"/>
    </xf>
    <xf borderId="0" fillId="0" fontId="3" numFmtId="0" xfId="0" applyAlignment="1" applyFont="1">
      <alignment readingOrder="0" vertical="center"/>
    </xf>
    <xf borderId="0" fillId="0" fontId="3" numFmtId="0" xfId="0" applyAlignment="1" applyFont="1">
      <alignment horizontal="center" readingOrder="0" vertical="center"/>
    </xf>
    <xf borderId="1" fillId="0" fontId="11" numFmtId="0" xfId="0" applyAlignment="1" applyBorder="1" applyFont="1">
      <alignment horizontal="center" readingOrder="0" shrinkToFit="0" vertical="center" wrapText="1"/>
    </xf>
    <xf borderId="0" fillId="0" fontId="12" numFmtId="0" xfId="0" applyAlignment="1" applyFont="1">
      <alignment horizontal="left" readingOrder="0" shrinkToFit="0" vertical="center" wrapText="1"/>
    </xf>
    <xf borderId="0" fillId="0" fontId="7" numFmtId="0" xfId="0" applyAlignment="1" applyFont="1">
      <alignment readingOrder="0" vertical="center"/>
    </xf>
    <xf borderId="4" fillId="0" fontId="8" numFmtId="0" xfId="0" applyAlignment="1" applyBorder="1" applyFont="1">
      <alignment readingOrder="0" vertical="center"/>
    </xf>
    <xf borderId="4" fillId="0" fontId="3" numFmtId="0" xfId="0" applyAlignment="1" applyBorder="1" applyFont="1">
      <alignment readingOrder="0" vertical="center"/>
    </xf>
    <xf borderId="4" fillId="0" fontId="3" numFmtId="0" xfId="0" applyAlignment="1" applyBorder="1" applyFont="1">
      <alignment readingOrder="0"/>
    </xf>
    <xf borderId="4" fillId="0" fontId="8" numFmtId="0" xfId="0" applyAlignment="1" applyBorder="1" applyFont="1">
      <alignment readingOrder="0"/>
    </xf>
    <xf borderId="4" fillId="0" fontId="8" numFmtId="0" xfId="0" applyAlignment="1" applyBorder="1" applyFont="1">
      <alignment horizontal="center" readingOrder="0"/>
    </xf>
    <xf borderId="4" fillId="0" fontId="3" numFmtId="0" xfId="0" applyAlignment="1" applyBorder="1" applyFont="1">
      <alignment horizontal="center"/>
    </xf>
    <xf borderId="4" fillId="0" fontId="3" numFmtId="0" xfId="0" applyAlignment="1" applyBorder="1" applyFont="1">
      <alignment horizontal="center" readingOrder="0"/>
    </xf>
    <xf borderId="0" fillId="0" fontId="3" numFmtId="0" xfId="0" applyAlignment="1" applyFont="1">
      <alignment readingOrder="0"/>
    </xf>
    <xf borderId="0" fillId="0" fontId="3" numFmtId="0" xfId="0" applyAlignment="1" applyFont="1">
      <alignment horizontal="center" readingOrder="0"/>
    </xf>
    <xf borderId="0" fillId="0" fontId="3"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edjohnson10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25"/>
    <col customWidth="1" min="2" max="2" width="23.13"/>
    <col customWidth="1" min="3" max="3" width="13.75"/>
  </cols>
  <sheetData>
    <row r="1">
      <c r="A1" s="1" t="s">
        <v>0</v>
      </c>
      <c r="B1" s="2"/>
      <c r="C1" s="2"/>
      <c r="D1" s="2"/>
      <c r="E1" s="2"/>
      <c r="F1" s="2"/>
      <c r="G1" s="3"/>
      <c r="H1" s="4"/>
      <c r="I1" s="4"/>
      <c r="J1" s="4"/>
      <c r="K1" s="4"/>
      <c r="L1" s="4"/>
      <c r="M1" s="4"/>
      <c r="N1" s="4"/>
      <c r="O1" s="4"/>
      <c r="P1" s="4"/>
      <c r="Q1" s="4"/>
      <c r="R1" s="4"/>
      <c r="S1" s="4"/>
      <c r="T1" s="4"/>
      <c r="U1" s="4"/>
      <c r="V1" s="4"/>
      <c r="W1" s="4"/>
      <c r="X1" s="4"/>
      <c r="Y1" s="4"/>
      <c r="Z1" s="4"/>
    </row>
    <row r="2">
      <c r="A2" s="5" t="s">
        <v>1</v>
      </c>
      <c r="B2" s="2"/>
      <c r="C2" s="2"/>
      <c r="D2" s="2"/>
      <c r="E2" s="2"/>
      <c r="F2" s="2"/>
      <c r="G2" s="3"/>
      <c r="H2" s="4"/>
      <c r="I2" s="4"/>
      <c r="J2" s="4"/>
      <c r="K2" s="4"/>
      <c r="L2" s="4"/>
      <c r="M2" s="4"/>
      <c r="N2" s="4"/>
      <c r="O2" s="4"/>
      <c r="P2" s="4"/>
      <c r="Q2" s="4"/>
      <c r="R2" s="4"/>
      <c r="S2" s="4"/>
      <c r="T2" s="4"/>
      <c r="U2" s="4"/>
      <c r="V2" s="4"/>
      <c r="W2" s="4"/>
      <c r="X2" s="4"/>
      <c r="Y2" s="4"/>
      <c r="Z2" s="4"/>
    </row>
    <row r="3" ht="30.0" customHeight="1">
      <c r="A3" s="6" t="s">
        <v>2</v>
      </c>
      <c r="B3" s="2"/>
      <c r="C3" s="2"/>
      <c r="D3" s="2"/>
      <c r="E3" s="7" t="s">
        <v>3</v>
      </c>
      <c r="F3" s="2"/>
      <c r="G3" s="3"/>
      <c r="H3" s="4"/>
      <c r="I3" s="4"/>
      <c r="J3" s="4"/>
      <c r="K3" s="4"/>
      <c r="L3" s="4"/>
      <c r="M3" s="4"/>
      <c r="N3" s="4"/>
      <c r="O3" s="4"/>
      <c r="P3" s="4"/>
      <c r="Q3" s="4"/>
      <c r="R3" s="4"/>
      <c r="S3" s="4"/>
      <c r="T3" s="4"/>
      <c r="U3" s="4"/>
      <c r="V3" s="4"/>
      <c r="W3" s="4"/>
      <c r="X3" s="4"/>
      <c r="Y3" s="4"/>
      <c r="Z3" s="4"/>
    </row>
    <row r="4" ht="30.0" customHeight="1">
      <c r="A4" s="5" t="s">
        <v>4</v>
      </c>
      <c r="B4" s="2"/>
      <c r="C4" s="2"/>
      <c r="D4" s="2"/>
      <c r="E4" s="2"/>
      <c r="F4" s="2"/>
      <c r="G4" s="3"/>
      <c r="H4" s="4"/>
      <c r="I4" s="4"/>
      <c r="J4" s="4"/>
      <c r="K4" s="4"/>
      <c r="L4" s="4"/>
      <c r="M4" s="4"/>
      <c r="N4" s="4"/>
      <c r="O4" s="4"/>
      <c r="P4" s="4"/>
      <c r="Q4" s="4"/>
      <c r="R4" s="4"/>
      <c r="S4" s="4"/>
      <c r="T4" s="4"/>
      <c r="U4" s="4"/>
      <c r="V4" s="4"/>
      <c r="W4" s="4"/>
      <c r="X4" s="4"/>
      <c r="Y4" s="4"/>
      <c r="Z4" s="4"/>
    </row>
    <row r="5" ht="30.0" customHeight="1">
      <c r="A5" s="8" t="s">
        <v>5</v>
      </c>
      <c r="B5" s="2"/>
      <c r="C5" s="2"/>
      <c r="D5" s="2"/>
      <c r="E5" s="2"/>
      <c r="F5" s="2"/>
      <c r="G5" s="3"/>
      <c r="H5" s="4"/>
      <c r="I5" s="4"/>
      <c r="J5" s="4"/>
      <c r="K5" s="4"/>
      <c r="L5" s="4"/>
      <c r="M5" s="4"/>
      <c r="N5" s="4"/>
      <c r="O5" s="4"/>
      <c r="P5" s="4"/>
      <c r="Q5" s="4"/>
      <c r="R5" s="4"/>
      <c r="S5" s="4"/>
      <c r="T5" s="4"/>
      <c r="U5" s="4"/>
      <c r="V5" s="4"/>
      <c r="W5" s="4"/>
      <c r="X5" s="4"/>
      <c r="Y5" s="4"/>
      <c r="Z5" s="4"/>
    </row>
    <row r="6" ht="24.0" customHeight="1">
      <c r="A6" s="9" t="s">
        <v>6</v>
      </c>
      <c r="B6" s="10" t="s">
        <v>7</v>
      </c>
      <c r="C6" s="3"/>
      <c r="D6" s="10" t="s">
        <v>8</v>
      </c>
      <c r="E6" s="2"/>
      <c r="F6" s="2"/>
      <c r="G6" s="3"/>
      <c r="H6" s="4"/>
      <c r="I6" s="4"/>
      <c r="J6" s="4"/>
      <c r="K6" s="4"/>
      <c r="L6" s="4"/>
      <c r="M6" s="4"/>
      <c r="N6" s="4"/>
      <c r="O6" s="4"/>
      <c r="P6" s="4"/>
      <c r="Q6" s="4"/>
      <c r="R6" s="4"/>
      <c r="S6" s="4"/>
      <c r="T6" s="4"/>
      <c r="U6" s="4"/>
      <c r="V6" s="4"/>
      <c r="W6" s="4"/>
      <c r="X6" s="4"/>
      <c r="Y6" s="4"/>
      <c r="Z6" s="4"/>
    </row>
    <row r="7" ht="30.0" customHeight="1">
      <c r="A7" s="11" t="s">
        <v>9</v>
      </c>
      <c r="B7" s="12" t="s">
        <v>10</v>
      </c>
      <c r="C7" s="3"/>
      <c r="D7" s="13" t="s">
        <v>11</v>
      </c>
      <c r="E7" s="2"/>
      <c r="F7" s="2"/>
      <c r="G7" s="3"/>
      <c r="H7" s="4"/>
      <c r="I7" s="4"/>
      <c r="J7" s="4"/>
      <c r="K7" s="4"/>
      <c r="L7" s="4"/>
      <c r="M7" s="4"/>
      <c r="N7" s="4"/>
      <c r="O7" s="4"/>
      <c r="P7" s="4"/>
      <c r="Q7" s="4"/>
      <c r="R7" s="4"/>
      <c r="S7" s="4"/>
      <c r="T7" s="4"/>
      <c r="U7" s="4"/>
      <c r="V7" s="4"/>
      <c r="W7" s="4"/>
      <c r="X7" s="4"/>
      <c r="Y7" s="4"/>
      <c r="Z7" s="4"/>
    </row>
    <row r="8" ht="30.0" customHeight="1">
      <c r="A8" s="11" t="s">
        <v>12</v>
      </c>
      <c r="B8" s="12" t="s">
        <v>13</v>
      </c>
      <c r="C8" s="3"/>
      <c r="D8" s="13" t="s">
        <v>14</v>
      </c>
      <c r="E8" s="2"/>
      <c r="F8" s="2"/>
      <c r="G8" s="3"/>
      <c r="H8" s="4"/>
      <c r="I8" s="4"/>
      <c r="J8" s="4"/>
      <c r="K8" s="4"/>
      <c r="L8" s="4"/>
      <c r="M8" s="4"/>
      <c r="N8" s="4"/>
      <c r="O8" s="4"/>
      <c r="P8" s="4"/>
      <c r="Q8" s="4"/>
      <c r="R8" s="4"/>
      <c r="S8" s="4"/>
      <c r="T8" s="4"/>
      <c r="U8" s="4"/>
      <c r="V8" s="4"/>
      <c r="W8" s="4"/>
      <c r="X8" s="4"/>
      <c r="Y8" s="4"/>
      <c r="Z8" s="4"/>
    </row>
    <row r="9" ht="30.0" customHeight="1">
      <c r="A9" s="11" t="s">
        <v>15</v>
      </c>
      <c r="B9" s="12" t="s">
        <v>16</v>
      </c>
      <c r="C9" s="3"/>
      <c r="D9" s="13" t="s">
        <v>17</v>
      </c>
      <c r="E9" s="2"/>
      <c r="F9" s="2"/>
      <c r="G9" s="3"/>
      <c r="H9" s="4"/>
      <c r="I9" s="4"/>
      <c r="J9" s="4"/>
      <c r="K9" s="4"/>
      <c r="L9" s="4"/>
      <c r="M9" s="4"/>
      <c r="N9" s="4"/>
      <c r="O9" s="4"/>
      <c r="P9" s="4"/>
      <c r="Q9" s="4"/>
      <c r="R9" s="4"/>
      <c r="S9" s="4"/>
      <c r="T9" s="4"/>
      <c r="U9" s="4"/>
      <c r="V9" s="4"/>
      <c r="W9" s="4"/>
      <c r="X9" s="4"/>
      <c r="Y9" s="4"/>
      <c r="Z9" s="4"/>
    </row>
    <row r="10" ht="30.0" customHeight="1">
      <c r="A10" s="11" t="s">
        <v>18</v>
      </c>
      <c r="B10" s="12" t="s">
        <v>19</v>
      </c>
      <c r="C10" s="3"/>
      <c r="D10" s="14" t="s">
        <v>20</v>
      </c>
      <c r="E10" s="15"/>
      <c r="F10" s="15"/>
      <c r="G10" s="16"/>
      <c r="H10" s="4"/>
      <c r="I10" s="4"/>
      <c r="J10" s="4"/>
      <c r="K10" s="4"/>
      <c r="L10" s="4"/>
      <c r="M10" s="4"/>
      <c r="N10" s="4"/>
      <c r="O10" s="4"/>
      <c r="P10" s="4"/>
      <c r="Q10" s="4"/>
      <c r="R10" s="4"/>
      <c r="S10" s="4"/>
      <c r="T10" s="4"/>
      <c r="U10" s="4"/>
      <c r="V10" s="4"/>
      <c r="W10" s="4"/>
      <c r="X10" s="4"/>
      <c r="Y10" s="4"/>
      <c r="Z10" s="4"/>
    </row>
    <row r="11" ht="30.0" customHeight="1">
      <c r="A11" s="11" t="s">
        <v>21</v>
      </c>
      <c r="B11" s="12" t="s">
        <v>22</v>
      </c>
      <c r="C11" s="3"/>
      <c r="D11" s="17"/>
      <c r="G11" s="18"/>
      <c r="H11" s="4"/>
      <c r="I11" s="4"/>
      <c r="J11" s="4"/>
      <c r="K11" s="4"/>
      <c r="L11" s="4"/>
      <c r="M11" s="4"/>
      <c r="N11" s="4"/>
      <c r="O11" s="4"/>
      <c r="P11" s="4"/>
      <c r="Q11" s="4"/>
      <c r="R11" s="4"/>
      <c r="S11" s="4"/>
      <c r="T11" s="4"/>
      <c r="U11" s="4"/>
      <c r="V11" s="4"/>
      <c r="W11" s="4"/>
      <c r="X11" s="4"/>
      <c r="Y11" s="4"/>
      <c r="Z11" s="4"/>
    </row>
    <row r="12" ht="30.0" customHeight="1">
      <c r="A12" s="11" t="s">
        <v>23</v>
      </c>
      <c r="B12" s="12" t="s">
        <v>24</v>
      </c>
      <c r="C12" s="3"/>
      <c r="D12" s="17"/>
      <c r="G12" s="18"/>
      <c r="H12" s="4"/>
      <c r="I12" s="4"/>
      <c r="J12" s="4"/>
      <c r="K12" s="4"/>
      <c r="L12" s="4"/>
      <c r="M12" s="4"/>
      <c r="N12" s="4"/>
      <c r="O12" s="4"/>
      <c r="P12" s="4"/>
      <c r="Q12" s="4"/>
      <c r="R12" s="4"/>
      <c r="S12" s="4"/>
      <c r="T12" s="4"/>
      <c r="U12" s="4"/>
      <c r="V12" s="4"/>
      <c r="W12" s="4"/>
      <c r="X12" s="4"/>
      <c r="Y12" s="4"/>
      <c r="Z12" s="4"/>
    </row>
    <row r="13" ht="30.0" customHeight="1">
      <c r="A13" s="11" t="s">
        <v>25</v>
      </c>
      <c r="B13" s="12" t="s">
        <v>26</v>
      </c>
      <c r="C13" s="3"/>
      <c r="D13" s="19"/>
      <c r="E13" s="20"/>
      <c r="F13" s="20"/>
      <c r="G13" s="21"/>
      <c r="H13" s="4"/>
      <c r="I13" s="4"/>
      <c r="J13" s="4"/>
      <c r="K13" s="4"/>
      <c r="L13" s="4"/>
      <c r="M13" s="4"/>
      <c r="N13" s="4"/>
      <c r="O13" s="4"/>
      <c r="P13" s="4"/>
      <c r="Q13" s="4"/>
      <c r="R13" s="4"/>
      <c r="S13" s="4"/>
      <c r="T13" s="4"/>
      <c r="U13" s="4"/>
      <c r="V13" s="4"/>
      <c r="W13" s="4"/>
      <c r="X13" s="4"/>
      <c r="Y13" s="4"/>
      <c r="Z13" s="4"/>
    </row>
    <row r="14" ht="47.25" customHeight="1">
      <c r="A14" s="22" t="s">
        <v>27</v>
      </c>
      <c r="B14" s="23"/>
      <c r="C14" s="23"/>
      <c r="D14" s="24"/>
      <c r="E14" s="24"/>
      <c r="F14" s="24"/>
      <c r="G14" s="24"/>
      <c r="H14" s="4"/>
      <c r="I14" s="4"/>
      <c r="J14" s="4"/>
      <c r="K14" s="4"/>
      <c r="L14" s="4"/>
      <c r="M14" s="4"/>
      <c r="N14" s="4"/>
      <c r="O14" s="4"/>
      <c r="P14" s="4"/>
      <c r="Q14" s="4"/>
      <c r="R14" s="4"/>
      <c r="S14" s="4"/>
      <c r="T14" s="4"/>
      <c r="U14" s="4"/>
      <c r="V14" s="4"/>
      <c r="W14" s="4"/>
      <c r="X14" s="4"/>
      <c r="Y14" s="4"/>
      <c r="Z14" s="4"/>
    </row>
    <row r="15" ht="33.75" customHeight="1">
      <c r="A15" s="25" t="s">
        <v>28</v>
      </c>
      <c r="B15" s="2"/>
      <c r="C15" s="2"/>
      <c r="D15" s="2"/>
      <c r="E15" s="2"/>
      <c r="F15" s="2"/>
      <c r="G15" s="3"/>
      <c r="H15" s="4"/>
      <c r="I15" s="4"/>
      <c r="J15" s="4"/>
      <c r="K15" s="4"/>
      <c r="L15" s="4"/>
      <c r="M15" s="4"/>
      <c r="N15" s="4"/>
      <c r="O15" s="4"/>
      <c r="P15" s="4"/>
      <c r="Q15" s="4"/>
      <c r="R15" s="4"/>
      <c r="S15" s="4"/>
      <c r="T15" s="4"/>
      <c r="U15" s="4"/>
      <c r="V15" s="4"/>
      <c r="W15" s="4"/>
      <c r="X15" s="4"/>
      <c r="Y15" s="4"/>
      <c r="Z15" s="4"/>
    </row>
    <row r="16" ht="33.75" customHeight="1">
      <c r="A16" s="25" t="s">
        <v>29</v>
      </c>
      <c r="B16" s="2"/>
      <c r="C16" s="2"/>
      <c r="D16" s="2"/>
      <c r="E16" s="2"/>
      <c r="F16" s="2"/>
      <c r="G16" s="3"/>
      <c r="H16" s="4"/>
      <c r="I16" s="4"/>
      <c r="J16" s="4"/>
      <c r="K16" s="4"/>
      <c r="L16" s="4"/>
      <c r="M16" s="4"/>
      <c r="N16" s="4"/>
      <c r="O16" s="4"/>
      <c r="P16" s="4"/>
      <c r="Q16" s="4"/>
      <c r="R16" s="4"/>
      <c r="S16" s="4"/>
      <c r="T16" s="4"/>
      <c r="U16" s="4"/>
    </row>
    <row r="17">
      <c r="A17" s="26" t="s">
        <v>30</v>
      </c>
      <c r="H17" s="4"/>
      <c r="I17" s="4"/>
      <c r="J17" s="4"/>
      <c r="K17" s="4"/>
      <c r="L17" s="4"/>
      <c r="M17" s="4"/>
      <c r="N17" s="4"/>
      <c r="O17" s="4"/>
      <c r="P17" s="4"/>
      <c r="Q17" s="4"/>
      <c r="R17" s="4"/>
      <c r="S17" s="4"/>
      <c r="T17" s="4"/>
      <c r="U17" s="4"/>
    </row>
    <row r="18">
      <c r="A18" s="26" t="s">
        <v>31</v>
      </c>
      <c r="H18" s="4"/>
      <c r="I18" s="4"/>
      <c r="J18" s="4"/>
      <c r="K18" s="4"/>
      <c r="L18" s="4"/>
      <c r="M18" s="4"/>
      <c r="N18" s="4"/>
      <c r="O18" s="4"/>
      <c r="P18" s="4"/>
      <c r="Q18" s="4"/>
      <c r="R18" s="4"/>
      <c r="S18" s="4"/>
      <c r="T18" s="4"/>
      <c r="U18" s="4"/>
    </row>
    <row r="19" ht="41.25" customHeight="1">
      <c r="A19" s="27" t="s">
        <v>32</v>
      </c>
      <c r="H19" s="4"/>
      <c r="I19" s="4"/>
      <c r="J19" s="4"/>
      <c r="K19" s="4"/>
      <c r="L19" s="4"/>
      <c r="M19" s="4"/>
      <c r="N19" s="4"/>
      <c r="O19" s="4"/>
      <c r="P19" s="4"/>
      <c r="Q19" s="4"/>
      <c r="R19" s="4"/>
      <c r="S19" s="4"/>
      <c r="T19" s="4"/>
      <c r="U19" s="4"/>
    </row>
    <row r="20">
      <c r="A20" s="28" t="s">
        <v>9</v>
      </c>
      <c r="B20" s="28" t="s">
        <v>12</v>
      </c>
      <c r="C20" s="28" t="s">
        <v>15</v>
      </c>
      <c r="D20" s="4"/>
      <c r="E20" s="4"/>
      <c r="F20" s="4"/>
      <c r="G20" s="4"/>
      <c r="H20" s="4"/>
      <c r="I20" s="4"/>
      <c r="J20" s="4"/>
      <c r="K20" s="4"/>
      <c r="L20" s="4"/>
      <c r="M20" s="4"/>
      <c r="N20" s="4"/>
      <c r="O20" s="4"/>
      <c r="P20" s="4"/>
      <c r="Q20" s="4"/>
      <c r="R20" s="4"/>
      <c r="S20" s="4"/>
      <c r="T20" s="4"/>
      <c r="U20" s="4"/>
    </row>
    <row r="21">
      <c r="A21" s="29" t="s">
        <v>33</v>
      </c>
      <c r="B21" s="29" t="s">
        <v>34</v>
      </c>
      <c r="C21" s="29" t="s">
        <v>35</v>
      </c>
      <c r="D21" s="4"/>
      <c r="E21" s="4"/>
      <c r="F21" s="4"/>
      <c r="G21" s="4"/>
      <c r="H21" s="4"/>
      <c r="I21" s="4"/>
      <c r="J21" s="4"/>
      <c r="K21" s="4"/>
      <c r="L21" s="4"/>
      <c r="M21" s="4"/>
      <c r="N21" s="4"/>
      <c r="O21" s="4"/>
      <c r="P21" s="4"/>
      <c r="Q21" s="4"/>
      <c r="R21" s="4"/>
      <c r="S21" s="4"/>
      <c r="T21" s="4"/>
      <c r="U21" s="4"/>
    </row>
    <row r="22">
      <c r="A22" s="29" t="s">
        <v>33</v>
      </c>
      <c r="B22" s="29" t="s">
        <v>36</v>
      </c>
      <c r="C22" s="29" t="s">
        <v>37</v>
      </c>
      <c r="D22" s="4"/>
      <c r="E22" s="4"/>
      <c r="F22" s="4"/>
      <c r="G22" s="4"/>
      <c r="H22" s="4"/>
      <c r="I22" s="4"/>
      <c r="J22" s="4"/>
      <c r="K22" s="4"/>
      <c r="L22" s="4"/>
      <c r="M22" s="4"/>
      <c r="N22" s="4"/>
      <c r="O22" s="4"/>
      <c r="P22" s="4"/>
      <c r="Q22" s="4"/>
      <c r="R22" s="4"/>
      <c r="S22" s="4"/>
      <c r="T22" s="4"/>
      <c r="U22" s="4"/>
    </row>
    <row r="23">
      <c r="A23" s="29" t="s">
        <v>33</v>
      </c>
      <c r="B23" s="29" t="s">
        <v>38</v>
      </c>
      <c r="C23" s="29" t="s">
        <v>39</v>
      </c>
      <c r="D23" s="4"/>
      <c r="E23" s="4"/>
      <c r="F23" s="4"/>
      <c r="G23" s="4"/>
      <c r="H23" s="4"/>
      <c r="I23" s="4"/>
      <c r="J23" s="4"/>
      <c r="K23" s="4"/>
      <c r="L23" s="4"/>
      <c r="M23" s="4"/>
      <c r="N23" s="4"/>
      <c r="O23" s="4"/>
      <c r="P23" s="4"/>
      <c r="Q23" s="4"/>
      <c r="R23" s="4"/>
      <c r="S23" s="4"/>
      <c r="T23" s="4"/>
      <c r="U23" s="4"/>
    </row>
    <row r="24">
      <c r="A24" s="29" t="s">
        <v>40</v>
      </c>
      <c r="B24" s="29" t="s">
        <v>41</v>
      </c>
      <c r="C24" s="29" t="s">
        <v>42</v>
      </c>
      <c r="D24" s="4"/>
      <c r="E24" s="4"/>
      <c r="F24" s="4"/>
      <c r="G24" s="4"/>
      <c r="H24" s="4"/>
      <c r="I24" s="4"/>
      <c r="J24" s="4"/>
      <c r="K24" s="4"/>
      <c r="L24" s="4"/>
      <c r="M24" s="4"/>
      <c r="N24" s="4"/>
      <c r="O24" s="4"/>
      <c r="P24" s="4"/>
      <c r="Q24" s="4"/>
      <c r="R24" s="4"/>
      <c r="S24" s="4"/>
      <c r="T24" s="4"/>
      <c r="U24" s="4"/>
    </row>
    <row r="25">
      <c r="A25" s="29" t="s">
        <v>40</v>
      </c>
      <c r="B25" s="29" t="s">
        <v>43</v>
      </c>
      <c r="C25" s="29" t="s">
        <v>44</v>
      </c>
      <c r="D25" s="4"/>
      <c r="E25" s="4"/>
      <c r="F25" s="4"/>
      <c r="G25" s="4"/>
      <c r="H25" s="4"/>
      <c r="I25" s="4"/>
      <c r="J25" s="4"/>
      <c r="K25" s="4"/>
      <c r="L25" s="4"/>
      <c r="M25" s="4"/>
      <c r="N25" s="4"/>
      <c r="O25" s="4"/>
      <c r="P25" s="4"/>
      <c r="Q25" s="4"/>
      <c r="R25" s="4"/>
      <c r="S25" s="4"/>
      <c r="T25" s="4"/>
      <c r="U25" s="4"/>
    </row>
    <row r="26">
      <c r="A26" s="29" t="s">
        <v>40</v>
      </c>
      <c r="B26" s="29" t="s">
        <v>45</v>
      </c>
      <c r="C26" s="29" t="s">
        <v>46</v>
      </c>
      <c r="D26" s="4"/>
      <c r="E26" s="4"/>
      <c r="F26" s="4"/>
      <c r="G26" s="4"/>
      <c r="H26" s="4"/>
      <c r="I26" s="4"/>
      <c r="J26" s="4"/>
      <c r="K26" s="4"/>
      <c r="L26" s="4"/>
      <c r="M26" s="4"/>
      <c r="N26" s="4"/>
      <c r="O26" s="4"/>
      <c r="P26" s="4"/>
      <c r="Q26" s="4"/>
      <c r="R26" s="4"/>
      <c r="S26" s="4"/>
      <c r="T26" s="4"/>
      <c r="U26" s="4"/>
    </row>
    <row r="27">
      <c r="A27" s="29" t="s">
        <v>33</v>
      </c>
      <c r="B27" s="29" t="s">
        <v>47</v>
      </c>
      <c r="C27" s="29" t="s">
        <v>48</v>
      </c>
      <c r="D27" s="4"/>
      <c r="E27" s="4"/>
      <c r="F27" s="4"/>
      <c r="G27" s="4"/>
      <c r="H27" s="4"/>
      <c r="I27" s="4"/>
      <c r="J27" s="4"/>
      <c r="K27" s="4"/>
      <c r="L27" s="4"/>
      <c r="M27" s="4"/>
      <c r="N27" s="4"/>
      <c r="O27" s="4"/>
      <c r="P27" s="4"/>
      <c r="Q27" s="4"/>
      <c r="R27" s="4"/>
      <c r="S27" s="4"/>
      <c r="T27" s="4"/>
      <c r="U27" s="4"/>
    </row>
    <row r="28">
      <c r="A28" s="29" t="s">
        <v>33</v>
      </c>
      <c r="B28" s="29" t="s">
        <v>49</v>
      </c>
      <c r="C28" s="29" t="s">
        <v>50</v>
      </c>
      <c r="D28" s="4"/>
      <c r="E28" s="4"/>
      <c r="F28" s="4"/>
      <c r="G28" s="4"/>
      <c r="H28" s="4"/>
      <c r="I28" s="4"/>
      <c r="J28" s="4"/>
      <c r="K28" s="4"/>
      <c r="L28" s="4"/>
      <c r="M28" s="4"/>
      <c r="N28" s="4"/>
      <c r="O28" s="4"/>
      <c r="P28" s="4"/>
      <c r="Q28" s="4"/>
      <c r="R28" s="4"/>
      <c r="S28" s="4"/>
      <c r="T28" s="4"/>
      <c r="U28" s="4"/>
    </row>
    <row r="29">
      <c r="A29" s="29" t="s">
        <v>33</v>
      </c>
      <c r="B29" s="29" t="s">
        <v>51</v>
      </c>
      <c r="C29" s="29" t="s">
        <v>52</v>
      </c>
      <c r="D29" s="4"/>
      <c r="E29" s="4"/>
      <c r="F29" s="4"/>
      <c r="G29" s="4"/>
      <c r="H29" s="4"/>
      <c r="I29" s="4"/>
      <c r="J29" s="4"/>
      <c r="K29" s="4"/>
      <c r="L29" s="4"/>
      <c r="M29" s="4"/>
      <c r="N29" s="4"/>
      <c r="O29" s="4"/>
      <c r="P29" s="4"/>
      <c r="Q29" s="4"/>
      <c r="R29" s="4"/>
      <c r="S29" s="4"/>
      <c r="T29" s="4"/>
      <c r="U29" s="4"/>
    </row>
    <row r="30">
      <c r="A30" s="29" t="s">
        <v>33</v>
      </c>
      <c r="B30" s="29" t="s">
        <v>53</v>
      </c>
      <c r="C30" s="29" t="s">
        <v>54</v>
      </c>
      <c r="D30" s="4"/>
      <c r="E30" s="4"/>
      <c r="F30" s="4"/>
      <c r="G30" s="4"/>
      <c r="H30" s="4"/>
      <c r="I30" s="4"/>
      <c r="J30" s="4"/>
      <c r="K30" s="4"/>
      <c r="L30" s="4"/>
      <c r="M30" s="4"/>
      <c r="N30" s="4"/>
      <c r="O30" s="4"/>
      <c r="P30" s="4"/>
      <c r="Q30" s="4"/>
      <c r="R30" s="4"/>
      <c r="S30" s="4"/>
      <c r="T30" s="4"/>
      <c r="U30" s="4"/>
    </row>
    <row r="31">
      <c r="A31" s="29" t="s">
        <v>55</v>
      </c>
      <c r="B31" s="29" t="s">
        <v>56</v>
      </c>
      <c r="C31" s="29" t="s">
        <v>35</v>
      </c>
      <c r="D31" s="4"/>
      <c r="E31" s="4"/>
      <c r="F31" s="4"/>
      <c r="G31" s="4"/>
      <c r="H31" s="4"/>
      <c r="I31" s="4"/>
      <c r="J31" s="4"/>
      <c r="K31" s="4"/>
      <c r="L31" s="4"/>
      <c r="M31" s="4"/>
      <c r="N31" s="4"/>
      <c r="O31" s="4"/>
      <c r="P31" s="4"/>
      <c r="Q31" s="4"/>
      <c r="R31" s="4"/>
      <c r="S31" s="4"/>
      <c r="T31" s="4"/>
      <c r="U31" s="4"/>
    </row>
    <row r="32">
      <c r="A32" s="29" t="s">
        <v>55</v>
      </c>
      <c r="B32" s="29" t="s">
        <v>57</v>
      </c>
      <c r="C32" s="30" t="s">
        <v>58</v>
      </c>
      <c r="D32" s="4"/>
      <c r="E32" s="4"/>
      <c r="F32" s="4"/>
      <c r="G32" s="4"/>
      <c r="H32" s="4"/>
      <c r="I32" s="4"/>
      <c r="J32" s="4"/>
      <c r="K32" s="4"/>
      <c r="L32" s="4"/>
      <c r="M32" s="4"/>
      <c r="N32" s="4"/>
      <c r="O32" s="4"/>
      <c r="P32" s="4"/>
      <c r="Q32" s="4"/>
      <c r="R32" s="4"/>
      <c r="S32" s="4"/>
      <c r="T32" s="4"/>
      <c r="U32" s="4"/>
    </row>
    <row r="33">
      <c r="A33" s="29" t="s">
        <v>55</v>
      </c>
      <c r="B33" s="29" t="s">
        <v>59</v>
      </c>
      <c r="C33" s="29" t="s">
        <v>52</v>
      </c>
      <c r="D33" s="4"/>
      <c r="E33" s="4"/>
      <c r="F33" s="4"/>
      <c r="G33" s="4"/>
      <c r="H33" s="4"/>
      <c r="I33" s="4"/>
      <c r="J33" s="4"/>
      <c r="K33" s="4"/>
      <c r="L33" s="4"/>
      <c r="M33" s="4"/>
      <c r="N33" s="4"/>
      <c r="O33" s="4"/>
      <c r="P33" s="4"/>
      <c r="Q33" s="4"/>
      <c r="R33" s="4"/>
      <c r="S33" s="4"/>
      <c r="T33" s="4"/>
      <c r="U33" s="4"/>
    </row>
    <row r="34">
      <c r="A34" s="29" t="s">
        <v>55</v>
      </c>
      <c r="B34" s="29" t="s">
        <v>60</v>
      </c>
      <c r="C34" s="29" t="s">
        <v>54</v>
      </c>
      <c r="D34" s="4"/>
      <c r="E34" s="4"/>
      <c r="F34" s="4"/>
      <c r="G34" s="4"/>
      <c r="H34" s="4"/>
      <c r="I34" s="4"/>
      <c r="J34" s="4"/>
      <c r="K34" s="4"/>
      <c r="L34" s="4"/>
      <c r="M34" s="4"/>
      <c r="N34" s="4"/>
      <c r="O34" s="4"/>
      <c r="P34" s="4"/>
      <c r="Q34" s="4"/>
      <c r="R34" s="4"/>
      <c r="S34" s="4"/>
      <c r="T34" s="4"/>
      <c r="U34" s="4"/>
    </row>
    <row r="35">
      <c r="A35" s="23" t="s">
        <v>61</v>
      </c>
      <c r="H35" s="4"/>
      <c r="I35" s="4"/>
      <c r="J35" s="4"/>
      <c r="K35" s="4"/>
      <c r="L35" s="4"/>
      <c r="M35" s="4"/>
      <c r="N35" s="4"/>
      <c r="O35" s="4"/>
      <c r="P35" s="4"/>
      <c r="Q35" s="4"/>
      <c r="R35" s="4"/>
      <c r="S35" s="4"/>
      <c r="T35" s="4"/>
      <c r="U35" s="4"/>
    </row>
    <row r="36">
      <c r="H36" s="4"/>
      <c r="I36" s="4"/>
      <c r="J36" s="4"/>
      <c r="K36" s="4"/>
      <c r="L36" s="4"/>
      <c r="M36" s="4"/>
      <c r="N36" s="4"/>
      <c r="O36" s="4"/>
      <c r="P36" s="4"/>
      <c r="Q36" s="4"/>
      <c r="R36" s="4"/>
      <c r="S36" s="4"/>
      <c r="T36" s="4"/>
      <c r="U36" s="4"/>
    </row>
    <row r="37" ht="41.25" customHeight="1">
      <c r="A37" s="27" t="s">
        <v>62</v>
      </c>
      <c r="H37" s="4"/>
      <c r="I37" s="4"/>
      <c r="J37" s="4"/>
      <c r="K37" s="4"/>
      <c r="L37" s="4"/>
      <c r="M37" s="4"/>
      <c r="N37" s="4"/>
      <c r="O37" s="4"/>
      <c r="P37" s="4"/>
      <c r="Q37" s="4"/>
      <c r="R37" s="4"/>
      <c r="S37" s="4"/>
      <c r="T37" s="4"/>
      <c r="U37" s="4"/>
      <c r="V37" s="4"/>
      <c r="W37" s="4"/>
      <c r="X37" s="4"/>
      <c r="Y37" s="4"/>
      <c r="Z37" s="4"/>
    </row>
    <row r="38">
      <c r="A38" s="31" t="s">
        <v>9</v>
      </c>
      <c r="B38" s="31" t="s">
        <v>12</v>
      </c>
      <c r="C38" s="31" t="s">
        <v>15</v>
      </c>
      <c r="D38" s="32" t="s">
        <v>18</v>
      </c>
      <c r="E38" s="32" t="s">
        <v>21</v>
      </c>
      <c r="F38" s="32" t="s">
        <v>23</v>
      </c>
      <c r="G38" s="32" t="s">
        <v>25</v>
      </c>
      <c r="H38" s="4"/>
      <c r="I38" s="4"/>
      <c r="J38" s="4"/>
      <c r="K38" s="4"/>
      <c r="L38" s="4"/>
      <c r="M38" s="4"/>
      <c r="N38" s="4"/>
      <c r="O38" s="4"/>
      <c r="P38" s="4"/>
      <c r="Q38" s="4"/>
      <c r="R38" s="4"/>
      <c r="S38" s="4"/>
      <c r="T38" s="4"/>
      <c r="U38" s="4"/>
      <c r="V38" s="4"/>
      <c r="W38" s="4"/>
      <c r="X38" s="4"/>
      <c r="Y38" s="4"/>
      <c r="Z38" s="4"/>
    </row>
    <row r="39">
      <c r="A39" s="30" t="s">
        <v>63</v>
      </c>
      <c r="B39" s="30" t="s">
        <v>64</v>
      </c>
      <c r="C39" s="30" t="s">
        <v>35</v>
      </c>
      <c r="D39" s="33">
        <v>255.0</v>
      </c>
      <c r="E39" s="33">
        <v>255.0</v>
      </c>
      <c r="F39" s="33">
        <v>255.0</v>
      </c>
      <c r="G39" s="34">
        <v>0.0</v>
      </c>
      <c r="H39" s="4"/>
      <c r="I39" s="4"/>
      <c r="J39" s="4"/>
      <c r="K39" s="4"/>
      <c r="L39" s="4"/>
      <c r="M39" s="4"/>
      <c r="N39" s="4"/>
      <c r="O39" s="4"/>
      <c r="P39" s="4"/>
      <c r="Q39" s="4"/>
      <c r="R39" s="4"/>
      <c r="S39" s="4"/>
      <c r="T39" s="4"/>
      <c r="U39" s="4"/>
      <c r="V39" s="4"/>
      <c r="W39" s="4"/>
      <c r="X39" s="4"/>
      <c r="Y39" s="4"/>
      <c r="Z39" s="4"/>
    </row>
    <row r="40">
      <c r="A40" s="30" t="s">
        <v>63</v>
      </c>
      <c r="B40" s="30" t="s">
        <v>65</v>
      </c>
      <c r="C40" s="30" t="s">
        <v>66</v>
      </c>
      <c r="D40" s="33">
        <v>211.0</v>
      </c>
      <c r="E40" s="33">
        <v>183.0</v>
      </c>
      <c r="F40" s="33">
        <v>167.0</v>
      </c>
      <c r="G40" s="34">
        <v>0.0</v>
      </c>
      <c r="H40" s="4"/>
      <c r="I40" s="4"/>
      <c r="J40" s="4"/>
      <c r="K40" s="4"/>
      <c r="L40" s="4"/>
      <c r="M40" s="4"/>
      <c r="N40" s="4"/>
      <c r="O40" s="4"/>
      <c r="P40" s="4"/>
      <c r="Q40" s="4"/>
      <c r="R40" s="4"/>
      <c r="S40" s="4"/>
      <c r="T40" s="4"/>
      <c r="U40" s="4"/>
      <c r="V40" s="4"/>
      <c r="W40" s="4"/>
      <c r="X40" s="4"/>
      <c r="Y40" s="4"/>
      <c r="Z40" s="4"/>
    </row>
    <row r="41">
      <c r="A41" s="30" t="s">
        <v>63</v>
      </c>
      <c r="B41" s="30" t="s">
        <v>67</v>
      </c>
      <c r="C41" s="30" t="s">
        <v>68</v>
      </c>
      <c r="D41" s="33">
        <v>232.0</v>
      </c>
      <c r="E41" s="33">
        <v>219.0</v>
      </c>
      <c r="F41" s="33">
        <v>183.0</v>
      </c>
      <c r="G41" s="34">
        <v>0.0</v>
      </c>
      <c r="H41" s="4"/>
      <c r="I41" s="4"/>
      <c r="J41" s="4"/>
      <c r="K41" s="4"/>
      <c r="L41" s="4"/>
      <c r="M41" s="4"/>
      <c r="N41" s="4"/>
      <c r="O41" s="4"/>
      <c r="P41" s="4"/>
      <c r="Q41" s="4"/>
      <c r="R41" s="4"/>
      <c r="S41" s="4"/>
      <c r="T41" s="4"/>
      <c r="U41" s="4"/>
      <c r="V41" s="4"/>
      <c r="W41" s="4"/>
      <c r="X41" s="4"/>
      <c r="Y41" s="4"/>
      <c r="Z41" s="4"/>
    </row>
    <row r="42">
      <c r="A42" s="30" t="s">
        <v>63</v>
      </c>
      <c r="B42" s="30" t="s">
        <v>69</v>
      </c>
      <c r="C42" s="30" t="s">
        <v>70</v>
      </c>
      <c r="D42" s="33">
        <v>155.0</v>
      </c>
      <c r="E42" s="33">
        <v>158.0</v>
      </c>
      <c r="F42" s="33">
        <v>160.0</v>
      </c>
      <c r="G42" s="34">
        <v>0.0</v>
      </c>
      <c r="H42" s="4"/>
      <c r="I42" s="4"/>
      <c r="J42" s="4"/>
      <c r="K42" s="4"/>
      <c r="L42" s="4"/>
      <c r="M42" s="4"/>
      <c r="N42" s="4"/>
      <c r="O42" s="4"/>
      <c r="P42" s="4"/>
      <c r="Q42" s="4"/>
      <c r="R42" s="4"/>
      <c r="S42" s="4"/>
      <c r="T42" s="4"/>
      <c r="U42" s="4"/>
      <c r="V42" s="4"/>
      <c r="W42" s="4"/>
      <c r="X42" s="4"/>
      <c r="Y42" s="4"/>
      <c r="Z42" s="4"/>
    </row>
    <row r="43">
      <c r="A43" s="30" t="s">
        <v>63</v>
      </c>
      <c r="B43" s="30" t="s">
        <v>71</v>
      </c>
      <c r="C43" s="30" t="s">
        <v>72</v>
      </c>
      <c r="D43" s="33">
        <v>174.0</v>
      </c>
      <c r="E43" s="33">
        <v>150.0</v>
      </c>
      <c r="F43" s="33">
        <v>212.0</v>
      </c>
      <c r="G43" s="34">
        <v>0.0</v>
      </c>
      <c r="H43" s="4"/>
      <c r="I43" s="4"/>
      <c r="J43" s="4"/>
      <c r="K43" s="4"/>
      <c r="L43" s="4"/>
      <c r="M43" s="4"/>
      <c r="N43" s="4"/>
      <c r="O43" s="4"/>
      <c r="P43" s="4"/>
      <c r="Q43" s="4"/>
      <c r="R43" s="4"/>
      <c r="S43" s="4"/>
      <c r="T43" s="4"/>
      <c r="U43" s="4"/>
      <c r="V43" s="4"/>
      <c r="W43" s="4"/>
      <c r="X43" s="4"/>
      <c r="Y43" s="4"/>
      <c r="Z43" s="4"/>
    </row>
    <row r="44">
      <c r="A44" s="30" t="s">
        <v>63</v>
      </c>
      <c r="B44" s="30" t="s">
        <v>73</v>
      </c>
      <c r="C44" s="30" t="s">
        <v>74</v>
      </c>
      <c r="D44" s="33">
        <v>232.0</v>
      </c>
      <c r="E44" s="33">
        <v>175.0</v>
      </c>
      <c r="F44" s="33">
        <v>207.0</v>
      </c>
      <c r="G44" s="34">
        <v>0.0</v>
      </c>
      <c r="H44" s="4"/>
      <c r="I44" s="4"/>
      <c r="J44" s="4"/>
      <c r="K44" s="4"/>
      <c r="L44" s="4"/>
      <c r="M44" s="4"/>
      <c r="N44" s="4"/>
      <c r="O44" s="4"/>
      <c r="P44" s="4"/>
      <c r="Q44" s="4"/>
      <c r="R44" s="4"/>
      <c r="S44" s="4"/>
      <c r="T44" s="4"/>
      <c r="U44" s="4"/>
      <c r="V44" s="4"/>
      <c r="W44" s="4"/>
      <c r="X44" s="4"/>
      <c r="Y44" s="4"/>
      <c r="Z44" s="4"/>
    </row>
    <row r="45">
      <c r="A45" s="30" t="s">
        <v>63</v>
      </c>
      <c r="B45" s="30" t="s">
        <v>75</v>
      </c>
      <c r="C45" s="30" t="s">
        <v>76</v>
      </c>
      <c r="D45" s="33">
        <v>249.0</v>
      </c>
      <c r="E45" s="33">
        <v>153.0</v>
      </c>
      <c r="F45" s="33">
        <v>99.0</v>
      </c>
      <c r="G45" s="34">
        <v>0.0</v>
      </c>
      <c r="H45" s="4"/>
      <c r="I45" s="4"/>
      <c r="J45" s="4"/>
      <c r="K45" s="4"/>
      <c r="L45" s="4"/>
      <c r="M45" s="4"/>
      <c r="N45" s="4"/>
      <c r="O45" s="4"/>
      <c r="P45" s="4"/>
      <c r="Q45" s="4"/>
      <c r="R45" s="4"/>
      <c r="S45" s="4"/>
      <c r="T45" s="4"/>
      <c r="U45" s="4"/>
      <c r="V45" s="4"/>
      <c r="W45" s="4"/>
      <c r="X45" s="4"/>
      <c r="Y45" s="4"/>
      <c r="Z45" s="4"/>
    </row>
    <row r="46">
      <c r="A46" s="30" t="s">
        <v>63</v>
      </c>
      <c r="B46" s="30" t="s">
        <v>77</v>
      </c>
      <c r="C46" s="30" t="s">
        <v>78</v>
      </c>
      <c r="D46" s="33">
        <v>247.0</v>
      </c>
      <c r="E46" s="33">
        <v>217.0</v>
      </c>
      <c r="F46" s="33">
        <v>89.0</v>
      </c>
      <c r="G46" s="34">
        <v>0.0</v>
      </c>
      <c r="H46" s="4"/>
      <c r="I46" s="4"/>
      <c r="J46" s="4"/>
      <c r="K46" s="4"/>
      <c r="L46" s="4"/>
      <c r="M46" s="4"/>
      <c r="N46" s="4"/>
      <c r="O46" s="4"/>
      <c r="P46" s="4"/>
      <c r="Q46" s="4"/>
      <c r="R46" s="4"/>
      <c r="S46" s="4"/>
      <c r="T46" s="4"/>
      <c r="U46" s="4"/>
      <c r="V46" s="4"/>
      <c r="W46" s="4"/>
      <c r="X46" s="4"/>
      <c r="Y46" s="4"/>
      <c r="Z46" s="4"/>
    </row>
    <row r="47">
      <c r="A47" s="30" t="s">
        <v>63</v>
      </c>
      <c r="B47" s="30" t="s">
        <v>79</v>
      </c>
      <c r="C47" s="30" t="s">
        <v>80</v>
      </c>
      <c r="D47" s="33">
        <v>222.0</v>
      </c>
      <c r="E47" s="33">
        <v>67.0</v>
      </c>
      <c r="F47" s="33">
        <v>67.0</v>
      </c>
      <c r="G47" s="34">
        <v>0.0</v>
      </c>
      <c r="H47" s="4"/>
      <c r="I47" s="4"/>
      <c r="J47" s="4"/>
      <c r="K47" s="4"/>
      <c r="L47" s="4"/>
      <c r="M47" s="4"/>
      <c r="N47" s="4"/>
      <c r="O47" s="4"/>
      <c r="P47" s="4"/>
      <c r="Q47" s="4"/>
      <c r="R47" s="4"/>
      <c r="S47" s="4"/>
      <c r="T47" s="4"/>
      <c r="U47" s="4"/>
      <c r="V47" s="4"/>
      <c r="W47" s="4"/>
      <c r="X47" s="4"/>
      <c r="Y47" s="4"/>
      <c r="Z47" s="4"/>
    </row>
    <row r="48">
      <c r="A48" s="30" t="s">
        <v>63</v>
      </c>
      <c r="B48" s="30" t="s">
        <v>81</v>
      </c>
      <c r="C48" s="30" t="s">
        <v>82</v>
      </c>
      <c r="D48" s="33">
        <v>187.0</v>
      </c>
      <c r="E48" s="33">
        <v>61.0</v>
      </c>
      <c r="F48" s="33">
        <v>67.0</v>
      </c>
      <c r="G48" s="34">
        <v>0.0</v>
      </c>
      <c r="H48" s="4"/>
      <c r="I48" s="4"/>
      <c r="J48" s="4"/>
      <c r="K48" s="4"/>
      <c r="L48" s="4"/>
      <c r="M48" s="4"/>
      <c r="N48" s="4"/>
      <c r="O48" s="4"/>
      <c r="P48" s="4"/>
      <c r="Q48" s="4"/>
      <c r="R48" s="4"/>
      <c r="S48" s="4"/>
      <c r="T48" s="4"/>
      <c r="U48" s="4"/>
      <c r="V48" s="4"/>
      <c r="W48" s="4"/>
      <c r="X48" s="4"/>
      <c r="Y48" s="4"/>
      <c r="Z48" s="4"/>
    </row>
    <row r="49">
      <c r="A49" s="30" t="s">
        <v>63</v>
      </c>
      <c r="B49" s="30" t="s">
        <v>83</v>
      </c>
      <c r="C49" s="30" t="s">
        <v>84</v>
      </c>
      <c r="D49" s="33">
        <v>125.0</v>
      </c>
      <c r="E49" s="33">
        <v>101.0</v>
      </c>
      <c r="F49" s="33">
        <v>86.0</v>
      </c>
      <c r="G49" s="34">
        <v>0.0</v>
      </c>
      <c r="H49" s="4"/>
      <c r="I49" s="4"/>
      <c r="J49" s="4"/>
      <c r="K49" s="4"/>
      <c r="L49" s="4"/>
      <c r="M49" s="4"/>
      <c r="N49" s="4"/>
      <c r="O49" s="4"/>
      <c r="P49" s="4"/>
      <c r="Q49" s="4"/>
      <c r="R49" s="4"/>
      <c r="S49" s="4"/>
      <c r="T49" s="4"/>
      <c r="U49" s="4"/>
      <c r="V49" s="4"/>
      <c r="W49" s="4"/>
      <c r="X49" s="4"/>
      <c r="Y49" s="4"/>
      <c r="Z49" s="4"/>
    </row>
    <row r="50">
      <c r="A50" s="30" t="s">
        <v>63</v>
      </c>
      <c r="B50" s="30" t="s">
        <v>85</v>
      </c>
      <c r="C50" s="30" t="s">
        <v>86</v>
      </c>
      <c r="D50" s="33">
        <v>104.0</v>
      </c>
      <c r="E50" s="33">
        <v>114.0</v>
      </c>
      <c r="F50" s="33">
        <v>77.0</v>
      </c>
      <c r="G50" s="34">
        <v>0.0</v>
      </c>
      <c r="H50" s="4"/>
      <c r="I50" s="4"/>
      <c r="J50" s="4"/>
      <c r="K50" s="4"/>
      <c r="L50" s="4"/>
      <c r="M50" s="4"/>
      <c r="N50" s="4"/>
      <c r="O50" s="4"/>
      <c r="P50" s="4"/>
      <c r="Q50" s="4"/>
      <c r="R50" s="4"/>
      <c r="S50" s="4"/>
      <c r="T50" s="4"/>
      <c r="U50" s="4"/>
      <c r="V50" s="4"/>
      <c r="W50" s="4"/>
      <c r="X50" s="4"/>
      <c r="Y50" s="4"/>
      <c r="Z50" s="4"/>
    </row>
    <row r="51">
      <c r="A51" s="30" t="s">
        <v>63</v>
      </c>
      <c r="B51" s="30" t="s">
        <v>87</v>
      </c>
      <c r="C51" s="30" t="s">
        <v>88</v>
      </c>
      <c r="D51" s="33">
        <v>97.0</v>
      </c>
      <c r="E51" s="33">
        <v>198.0</v>
      </c>
      <c r="F51" s="33">
        <v>128.0</v>
      </c>
      <c r="G51" s="34">
        <v>0.0</v>
      </c>
      <c r="H51" s="4"/>
      <c r="I51" s="4"/>
      <c r="J51" s="4"/>
      <c r="K51" s="4"/>
      <c r="L51" s="4"/>
      <c r="M51" s="4"/>
      <c r="N51" s="4"/>
      <c r="O51" s="4"/>
      <c r="P51" s="4"/>
      <c r="Q51" s="4"/>
      <c r="R51" s="4"/>
      <c r="S51" s="4"/>
      <c r="T51" s="4"/>
      <c r="U51" s="4"/>
      <c r="V51" s="4"/>
      <c r="W51" s="4"/>
      <c r="X51" s="4"/>
      <c r="Y51" s="4"/>
      <c r="Z51" s="4"/>
    </row>
    <row r="52">
      <c r="A52" s="30" t="s">
        <v>63</v>
      </c>
      <c r="B52" s="30" t="s">
        <v>89</v>
      </c>
      <c r="C52" s="30" t="s">
        <v>90</v>
      </c>
      <c r="D52" s="33">
        <v>163.0</v>
      </c>
      <c r="E52" s="33">
        <v>216.0</v>
      </c>
      <c r="F52" s="33">
        <v>225.0</v>
      </c>
      <c r="G52" s="34">
        <v>0.0</v>
      </c>
      <c r="H52" s="4"/>
      <c r="I52" s="4"/>
      <c r="J52" s="4"/>
      <c r="K52" s="4"/>
      <c r="L52" s="4"/>
      <c r="M52" s="4"/>
      <c r="N52" s="4"/>
      <c r="O52" s="4"/>
      <c r="P52" s="4"/>
      <c r="Q52" s="4"/>
      <c r="R52" s="4"/>
      <c r="S52" s="4"/>
      <c r="T52" s="4"/>
      <c r="U52" s="4"/>
      <c r="V52" s="4"/>
      <c r="W52" s="4"/>
      <c r="X52" s="4"/>
      <c r="Y52" s="4"/>
      <c r="Z52" s="4"/>
    </row>
    <row r="53">
      <c r="A53" s="30" t="s">
        <v>63</v>
      </c>
      <c r="B53" s="30" t="s">
        <v>91</v>
      </c>
      <c r="C53" s="30" t="s">
        <v>92</v>
      </c>
      <c r="D53" s="33">
        <v>0.0</v>
      </c>
      <c r="E53" s="33">
        <v>120.0</v>
      </c>
      <c r="F53" s="33">
        <v>191.0</v>
      </c>
      <c r="G53" s="34">
        <v>0.0</v>
      </c>
      <c r="H53" s="4"/>
      <c r="I53" s="4"/>
      <c r="J53" s="4"/>
      <c r="K53" s="4"/>
      <c r="L53" s="4"/>
      <c r="M53" s="4"/>
      <c r="N53" s="4"/>
      <c r="O53" s="4"/>
      <c r="P53" s="4"/>
      <c r="Q53" s="4"/>
      <c r="R53" s="4"/>
      <c r="S53" s="4"/>
      <c r="T53" s="4"/>
      <c r="U53" s="4"/>
      <c r="V53" s="4"/>
      <c r="W53" s="4"/>
      <c r="X53" s="4"/>
      <c r="Y53" s="4"/>
      <c r="Z53" s="4"/>
    </row>
    <row r="54">
      <c r="A54" s="30" t="s">
        <v>63</v>
      </c>
      <c r="B54" s="30" t="s">
        <v>93</v>
      </c>
      <c r="C54" s="30" t="s">
        <v>94</v>
      </c>
      <c r="D54" s="33">
        <v>4.0</v>
      </c>
      <c r="E54" s="33">
        <v>47.0</v>
      </c>
      <c r="F54" s="33">
        <v>86.0</v>
      </c>
      <c r="G54" s="34">
        <v>0.0</v>
      </c>
      <c r="H54" s="4"/>
      <c r="I54" s="4"/>
      <c r="J54" s="4"/>
      <c r="K54" s="4"/>
      <c r="L54" s="4"/>
      <c r="M54" s="4"/>
      <c r="N54" s="4"/>
      <c r="O54" s="4"/>
      <c r="P54" s="4"/>
      <c r="Q54" s="4"/>
      <c r="R54" s="4"/>
      <c r="S54" s="4"/>
      <c r="T54" s="4"/>
      <c r="U54" s="4"/>
      <c r="V54" s="4"/>
      <c r="W54" s="4"/>
      <c r="X54" s="4"/>
      <c r="Y54" s="4"/>
      <c r="Z54" s="4"/>
    </row>
    <row r="55">
      <c r="A55" s="30" t="s">
        <v>63</v>
      </c>
      <c r="B55" s="30" t="s">
        <v>95</v>
      </c>
      <c r="C55" s="30" t="s">
        <v>96</v>
      </c>
      <c r="D55" s="33">
        <v>0.0</v>
      </c>
      <c r="E55" s="33">
        <v>0.0</v>
      </c>
      <c r="F55" s="33">
        <v>0.0</v>
      </c>
      <c r="G55" s="34">
        <v>0.0</v>
      </c>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sheetData>
  <mergeCells count="26">
    <mergeCell ref="A1:G1"/>
    <mergeCell ref="A2:G2"/>
    <mergeCell ref="A3:D3"/>
    <mergeCell ref="E3:G3"/>
    <mergeCell ref="A4:G4"/>
    <mergeCell ref="B6:C6"/>
    <mergeCell ref="D6:G6"/>
    <mergeCell ref="A5:G5"/>
    <mergeCell ref="B10:C10"/>
    <mergeCell ref="B11:C11"/>
    <mergeCell ref="B12:C12"/>
    <mergeCell ref="B13:C13"/>
    <mergeCell ref="A15:G15"/>
    <mergeCell ref="A16:G16"/>
    <mergeCell ref="A17:G17"/>
    <mergeCell ref="A18:G18"/>
    <mergeCell ref="A19:G19"/>
    <mergeCell ref="A35:G35"/>
    <mergeCell ref="A37:G37"/>
    <mergeCell ref="B7:C7"/>
    <mergeCell ref="D7:G7"/>
    <mergeCell ref="B8:C8"/>
    <mergeCell ref="D8:G8"/>
    <mergeCell ref="B9:C9"/>
    <mergeCell ref="D9:G9"/>
    <mergeCell ref="D10:G13"/>
  </mergeCells>
  <hyperlinks>
    <hyperlink r:id="rId1" ref="E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28.25"/>
  </cols>
  <sheetData>
    <row r="1">
      <c r="A1" s="35" t="s">
        <v>9</v>
      </c>
      <c r="B1" s="35" t="s">
        <v>12</v>
      </c>
      <c r="C1" s="35" t="s">
        <v>15</v>
      </c>
      <c r="D1" s="36" t="s">
        <v>18</v>
      </c>
      <c r="E1" s="36" t="s">
        <v>21</v>
      </c>
      <c r="F1" s="36" t="s">
        <v>23</v>
      </c>
      <c r="G1" s="36" t="s">
        <v>25</v>
      </c>
    </row>
    <row r="2">
      <c r="A2" s="35" t="s">
        <v>33</v>
      </c>
      <c r="D2" s="37">
        <f t="shared" ref="D2:D19" si="1">HEX2DEC(mid($C2,2,2))</f>
        <v>0</v>
      </c>
      <c r="E2" s="37">
        <f t="shared" ref="E2:E19" si="2">HEX2DEC(mid($C2,4,2))</f>
        <v>0</v>
      </c>
      <c r="F2" s="37">
        <f t="shared" ref="F2:F19" si="3">HEX2DEC(mid($C2,6,2))</f>
        <v>0</v>
      </c>
      <c r="G2" s="36">
        <v>0.0</v>
      </c>
    </row>
    <row r="3">
      <c r="A3" s="35" t="s">
        <v>40</v>
      </c>
      <c r="D3" s="37">
        <f t="shared" si="1"/>
        <v>0</v>
      </c>
      <c r="E3" s="37">
        <f t="shared" si="2"/>
        <v>0</v>
      </c>
      <c r="F3" s="37">
        <f t="shared" si="3"/>
        <v>0</v>
      </c>
      <c r="G3" s="36">
        <v>0.0</v>
      </c>
    </row>
    <row r="4">
      <c r="A4" s="35" t="s">
        <v>63</v>
      </c>
      <c r="D4" s="37">
        <f t="shared" si="1"/>
        <v>0</v>
      </c>
      <c r="E4" s="37">
        <f t="shared" si="2"/>
        <v>0</v>
      </c>
      <c r="F4" s="37">
        <f t="shared" si="3"/>
        <v>0</v>
      </c>
      <c r="G4" s="36">
        <v>0.0</v>
      </c>
    </row>
    <row r="5">
      <c r="D5" s="37">
        <f t="shared" si="1"/>
        <v>0</v>
      </c>
      <c r="E5" s="37">
        <f t="shared" si="2"/>
        <v>0</v>
      </c>
      <c r="F5" s="37">
        <f t="shared" si="3"/>
        <v>0</v>
      </c>
      <c r="G5" s="36">
        <v>0.0</v>
      </c>
    </row>
    <row r="6">
      <c r="D6" s="37">
        <f t="shared" si="1"/>
        <v>0</v>
      </c>
      <c r="E6" s="37">
        <f t="shared" si="2"/>
        <v>0</v>
      </c>
      <c r="F6" s="37">
        <f t="shared" si="3"/>
        <v>0</v>
      </c>
      <c r="G6" s="36">
        <v>0.0</v>
      </c>
    </row>
    <row r="7">
      <c r="D7" s="37">
        <f t="shared" si="1"/>
        <v>0</v>
      </c>
      <c r="E7" s="37">
        <f t="shared" si="2"/>
        <v>0</v>
      </c>
      <c r="F7" s="37">
        <f t="shared" si="3"/>
        <v>0</v>
      </c>
      <c r="G7" s="36">
        <v>0.0</v>
      </c>
    </row>
    <row r="8">
      <c r="D8" s="37">
        <f t="shared" si="1"/>
        <v>0</v>
      </c>
      <c r="E8" s="37">
        <f t="shared" si="2"/>
        <v>0</v>
      </c>
      <c r="F8" s="37">
        <f t="shared" si="3"/>
        <v>0</v>
      </c>
      <c r="G8" s="36">
        <v>0.0</v>
      </c>
    </row>
    <row r="9">
      <c r="D9" s="37">
        <f t="shared" si="1"/>
        <v>0</v>
      </c>
      <c r="E9" s="37">
        <f t="shared" si="2"/>
        <v>0</v>
      </c>
      <c r="F9" s="37">
        <f t="shared" si="3"/>
        <v>0</v>
      </c>
      <c r="G9" s="36">
        <v>0.0</v>
      </c>
    </row>
    <row r="10">
      <c r="D10" s="37">
        <f t="shared" si="1"/>
        <v>0</v>
      </c>
      <c r="E10" s="37">
        <f t="shared" si="2"/>
        <v>0</v>
      </c>
      <c r="F10" s="37">
        <f t="shared" si="3"/>
        <v>0</v>
      </c>
      <c r="G10" s="36">
        <v>0.0</v>
      </c>
    </row>
    <row r="11">
      <c r="D11" s="37">
        <f t="shared" si="1"/>
        <v>0</v>
      </c>
      <c r="E11" s="37">
        <f t="shared" si="2"/>
        <v>0</v>
      </c>
      <c r="F11" s="37">
        <f t="shared" si="3"/>
        <v>0</v>
      </c>
      <c r="G11" s="36">
        <v>0.0</v>
      </c>
    </row>
    <row r="12">
      <c r="D12" s="37">
        <f t="shared" si="1"/>
        <v>0</v>
      </c>
      <c r="E12" s="37">
        <f t="shared" si="2"/>
        <v>0</v>
      </c>
      <c r="F12" s="37">
        <f t="shared" si="3"/>
        <v>0</v>
      </c>
      <c r="G12" s="36">
        <v>0.0</v>
      </c>
    </row>
    <row r="13">
      <c r="D13" s="37">
        <f t="shared" si="1"/>
        <v>0</v>
      </c>
      <c r="E13" s="37">
        <f t="shared" si="2"/>
        <v>0</v>
      </c>
      <c r="F13" s="37">
        <f t="shared" si="3"/>
        <v>0</v>
      </c>
      <c r="G13" s="36">
        <v>0.0</v>
      </c>
    </row>
    <row r="14">
      <c r="D14" s="37">
        <f t="shared" si="1"/>
        <v>0</v>
      </c>
      <c r="E14" s="37">
        <f t="shared" si="2"/>
        <v>0</v>
      </c>
      <c r="F14" s="37">
        <f t="shared" si="3"/>
        <v>0</v>
      </c>
      <c r="G14" s="36">
        <v>0.0</v>
      </c>
    </row>
    <row r="15">
      <c r="D15" s="37">
        <f t="shared" si="1"/>
        <v>0</v>
      </c>
      <c r="E15" s="37">
        <f t="shared" si="2"/>
        <v>0</v>
      </c>
      <c r="F15" s="37">
        <f t="shared" si="3"/>
        <v>0</v>
      </c>
      <c r="G15" s="36">
        <v>0.0</v>
      </c>
    </row>
    <row r="16">
      <c r="D16" s="37">
        <f t="shared" si="1"/>
        <v>0</v>
      </c>
      <c r="E16" s="37">
        <f t="shared" si="2"/>
        <v>0</v>
      </c>
      <c r="F16" s="37">
        <f t="shared" si="3"/>
        <v>0</v>
      </c>
      <c r="G16" s="36">
        <v>0.0</v>
      </c>
    </row>
    <row r="17">
      <c r="D17" s="37">
        <f t="shared" si="1"/>
        <v>0</v>
      </c>
      <c r="E17" s="37">
        <f t="shared" si="2"/>
        <v>0</v>
      </c>
      <c r="F17" s="37">
        <f t="shared" si="3"/>
        <v>0</v>
      </c>
      <c r="G17" s="36">
        <v>0.0</v>
      </c>
    </row>
    <row r="18">
      <c r="D18" s="37">
        <f t="shared" si="1"/>
        <v>0</v>
      </c>
      <c r="E18" s="37">
        <f t="shared" si="2"/>
        <v>0</v>
      </c>
      <c r="F18" s="37">
        <f t="shared" si="3"/>
        <v>0</v>
      </c>
      <c r="G18" s="36">
        <v>0.0</v>
      </c>
    </row>
    <row r="19">
      <c r="D19" s="37">
        <f t="shared" si="1"/>
        <v>0</v>
      </c>
      <c r="E19" s="37">
        <f t="shared" si="2"/>
        <v>0</v>
      </c>
      <c r="F19" s="37">
        <f t="shared" si="3"/>
        <v>0</v>
      </c>
      <c r="G19" s="36">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8.25"/>
  </cols>
  <sheetData>
    <row r="1">
      <c r="A1" s="35" t="s">
        <v>9</v>
      </c>
      <c r="B1" s="35" t="s">
        <v>12</v>
      </c>
      <c r="C1" s="35" t="s">
        <v>15</v>
      </c>
      <c r="D1" s="36" t="s">
        <v>18</v>
      </c>
      <c r="E1" s="36" t="s">
        <v>21</v>
      </c>
      <c r="F1" s="36" t="s">
        <v>23</v>
      </c>
      <c r="G1" s="36" t="s">
        <v>25</v>
      </c>
    </row>
    <row r="2">
      <c r="A2" s="35" t="s">
        <v>33</v>
      </c>
      <c r="B2" s="35" t="s">
        <v>34</v>
      </c>
      <c r="C2" s="35" t="s">
        <v>35</v>
      </c>
      <c r="D2" s="37">
        <f t="shared" ref="D2:D22" si="1">HEX2DEC(mid($C2,2,2))</f>
        <v>255</v>
      </c>
      <c r="E2" s="37">
        <f t="shared" ref="E2:E22" si="2">HEX2DEC(mid($C2,4,2))</f>
        <v>255</v>
      </c>
      <c r="F2" s="37">
        <f t="shared" ref="F2:F22" si="3">HEX2DEC(mid($C2,6,2))</f>
        <v>255</v>
      </c>
      <c r="G2" s="36">
        <v>0.0</v>
      </c>
    </row>
    <row r="3">
      <c r="A3" s="35" t="s">
        <v>33</v>
      </c>
      <c r="B3" s="35" t="s">
        <v>36</v>
      </c>
      <c r="C3" s="35" t="s">
        <v>37</v>
      </c>
      <c r="D3" s="37">
        <f t="shared" si="1"/>
        <v>247</v>
      </c>
      <c r="E3" s="37">
        <f t="shared" si="2"/>
        <v>230</v>
      </c>
      <c r="F3" s="37">
        <f t="shared" si="3"/>
        <v>222</v>
      </c>
      <c r="G3" s="36">
        <v>0.0</v>
      </c>
    </row>
    <row r="4">
      <c r="A4" s="35" t="s">
        <v>33</v>
      </c>
      <c r="B4" s="35" t="s">
        <v>38</v>
      </c>
      <c r="C4" s="35" t="s">
        <v>39</v>
      </c>
      <c r="D4" s="37">
        <f t="shared" si="1"/>
        <v>228</v>
      </c>
      <c r="E4" s="37">
        <f t="shared" si="2"/>
        <v>189</v>
      </c>
      <c r="F4" s="37">
        <f t="shared" si="3"/>
        <v>104</v>
      </c>
      <c r="G4" s="36">
        <v>0.0</v>
      </c>
    </row>
    <row r="5">
      <c r="A5" s="35" t="s">
        <v>33</v>
      </c>
      <c r="B5" s="35" t="s">
        <v>97</v>
      </c>
      <c r="C5" s="35" t="s">
        <v>98</v>
      </c>
      <c r="D5" s="37">
        <f t="shared" si="1"/>
        <v>166</v>
      </c>
      <c r="E5" s="37">
        <f t="shared" si="2"/>
        <v>169</v>
      </c>
      <c r="F5" s="37">
        <f t="shared" si="3"/>
        <v>170</v>
      </c>
      <c r="G5" s="36">
        <v>0.0</v>
      </c>
    </row>
    <row r="6">
      <c r="A6" s="35" t="s">
        <v>33</v>
      </c>
      <c r="B6" s="35" t="s">
        <v>99</v>
      </c>
      <c r="C6" s="35" t="s">
        <v>100</v>
      </c>
      <c r="D6" s="37">
        <f t="shared" si="1"/>
        <v>142</v>
      </c>
      <c r="E6" s="37">
        <f t="shared" si="2"/>
        <v>144</v>
      </c>
      <c r="F6" s="37">
        <f t="shared" si="3"/>
        <v>137</v>
      </c>
      <c r="G6" s="36">
        <v>0.0</v>
      </c>
    </row>
    <row r="7">
      <c r="A7" s="35" t="s">
        <v>33</v>
      </c>
      <c r="B7" s="35" t="s">
        <v>101</v>
      </c>
      <c r="C7" s="35" t="s">
        <v>102</v>
      </c>
      <c r="D7" s="37">
        <f t="shared" si="1"/>
        <v>132</v>
      </c>
      <c r="E7" s="37">
        <f t="shared" si="2"/>
        <v>125</v>
      </c>
      <c r="F7" s="37">
        <f t="shared" si="3"/>
        <v>72</v>
      </c>
      <c r="G7" s="36">
        <v>0.0</v>
      </c>
    </row>
    <row r="8">
      <c r="A8" s="35" t="s">
        <v>33</v>
      </c>
      <c r="B8" s="35" t="s">
        <v>103</v>
      </c>
      <c r="C8" s="35" t="s">
        <v>104</v>
      </c>
      <c r="D8" s="37">
        <f t="shared" si="1"/>
        <v>157</v>
      </c>
      <c r="E8" s="37">
        <f t="shared" si="2"/>
        <v>67</v>
      </c>
      <c r="F8" s="37">
        <f t="shared" si="3"/>
        <v>44</v>
      </c>
      <c r="G8" s="36">
        <v>0.0</v>
      </c>
    </row>
    <row r="9">
      <c r="A9" s="35" t="s">
        <v>33</v>
      </c>
      <c r="B9" s="35" t="s">
        <v>105</v>
      </c>
      <c r="C9" s="35" t="s">
        <v>106</v>
      </c>
      <c r="D9" s="37">
        <f t="shared" si="1"/>
        <v>193</v>
      </c>
      <c r="E9" s="37">
        <f t="shared" si="2"/>
        <v>46</v>
      </c>
      <c r="F9" s="37">
        <f t="shared" si="3"/>
        <v>31</v>
      </c>
      <c r="G9" s="36">
        <v>0.0</v>
      </c>
    </row>
    <row r="10">
      <c r="A10" s="35" t="s">
        <v>33</v>
      </c>
      <c r="B10" s="35" t="s">
        <v>107</v>
      </c>
      <c r="C10" s="35" t="s">
        <v>108</v>
      </c>
      <c r="D10" s="37">
        <f t="shared" si="1"/>
        <v>236</v>
      </c>
      <c r="E10" s="37">
        <f t="shared" si="2"/>
        <v>0</v>
      </c>
      <c r="F10" s="37">
        <f t="shared" si="3"/>
        <v>140</v>
      </c>
      <c r="G10" s="36">
        <v>0.0</v>
      </c>
    </row>
    <row r="11">
      <c r="A11" s="35" t="s">
        <v>33</v>
      </c>
      <c r="B11" s="35" t="s">
        <v>109</v>
      </c>
      <c r="C11" s="35" t="s">
        <v>110</v>
      </c>
      <c r="D11" s="37">
        <f t="shared" si="1"/>
        <v>245</v>
      </c>
      <c r="E11" s="37">
        <f t="shared" si="2"/>
        <v>90</v>
      </c>
      <c r="F11" s="37">
        <f t="shared" si="3"/>
        <v>116</v>
      </c>
      <c r="G11" s="36">
        <v>0.0</v>
      </c>
    </row>
    <row r="12">
      <c r="A12" s="35" t="s">
        <v>33</v>
      </c>
      <c r="B12" s="35" t="s">
        <v>111</v>
      </c>
      <c r="C12" s="35" t="s">
        <v>112</v>
      </c>
      <c r="D12" s="37">
        <f t="shared" si="1"/>
        <v>255</v>
      </c>
      <c r="E12" s="37">
        <f t="shared" si="2"/>
        <v>106</v>
      </c>
      <c r="F12" s="37">
        <f t="shared" si="3"/>
        <v>19</v>
      </c>
      <c r="G12" s="36">
        <v>0.0</v>
      </c>
    </row>
    <row r="13">
      <c r="A13" s="35" t="s">
        <v>33</v>
      </c>
      <c r="B13" s="35" t="s">
        <v>113</v>
      </c>
      <c r="C13" s="35" t="s">
        <v>114</v>
      </c>
      <c r="D13" s="37">
        <f t="shared" si="1"/>
        <v>244</v>
      </c>
      <c r="E13" s="37">
        <f t="shared" si="2"/>
        <v>238</v>
      </c>
      <c r="F13" s="37">
        <f t="shared" si="3"/>
        <v>42</v>
      </c>
      <c r="G13" s="36">
        <v>0.0</v>
      </c>
    </row>
    <row r="14">
      <c r="A14" s="35" t="s">
        <v>33</v>
      </c>
      <c r="B14" s="35" t="s">
        <v>115</v>
      </c>
      <c r="C14" s="35" t="s">
        <v>116</v>
      </c>
      <c r="D14" s="37">
        <f t="shared" si="1"/>
        <v>0</v>
      </c>
      <c r="E14" s="37">
        <f t="shared" si="2"/>
        <v>174</v>
      </c>
      <c r="F14" s="37">
        <f t="shared" si="3"/>
        <v>66</v>
      </c>
      <c r="G14" s="36">
        <v>0.0</v>
      </c>
    </row>
    <row r="15">
      <c r="A15" s="35" t="s">
        <v>33</v>
      </c>
      <c r="B15" s="35" t="s">
        <v>117</v>
      </c>
      <c r="C15" s="35" t="s">
        <v>118</v>
      </c>
      <c r="D15" s="37">
        <f t="shared" si="1"/>
        <v>63</v>
      </c>
      <c r="E15" s="37">
        <f t="shared" si="2"/>
        <v>142</v>
      </c>
      <c r="F15" s="37">
        <f t="shared" si="3"/>
        <v>67</v>
      </c>
      <c r="G15" s="36">
        <v>0.0</v>
      </c>
    </row>
    <row r="16">
      <c r="A16" s="35" t="s">
        <v>33</v>
      </c>
      <c r="B16" s="35" t="s">
        <v>119</v>
      </c>
      <c r="C16" s="35" t="s">
        <v>120</v>
      </c>
      <c r="D16" s="37">
        <f t="shared" si="1"/>
        <v>0</v>
      </c>
      <c r="E16" s="37">
        <f t="shared" si="2"/>
        <v>134</v>
      </c>
      <c r="F16" s="37">
        <f t="shared" si="3"/>
        <v>214</v>
      </c>
      <c r="G16" s="36">
        <v>0.0</v>
      </c>
    </row>
    <row r="17">
      <c r="A17" s="35" t="s">
        <v>33</v>
      </c>
      <c r="B17" s="35" t="s">
        <v>121</v>
      </c>
      <c r="C17" s="35" t="s">
        <v>58</v>
      </c>
      <c r="D17" s="37">
        <f t="shared" si="1"/>
        <v>10</v>
      </c>
      <c r="E17" s="37">
        <f t="shared" si="2"/>
        <v>41</v>
      </c>
      <c r="F17" s="37">
        <f t="shared" si="3"/>
        <v>137</v>
      </c>
      <c r="G17" s="36">
        <v>0.0</v>
      </c>
    </row>
    <row r="18">
      <c r="A18" s="35" t="s">
        <v>33</v>
      </c>
      <c r="B18" s="35" t="s">
        <v>122</v>
      </c>
      <c r="C18" s="35" t="s">
        <v>123</v>
      </c>
      <c r="D18" s="37">
        <f t="shared" si="1"/>
        <v>94</v>
      </c>
      <c r="E18" s="37">
        <f t="shared" si="2"/>
        <v>67</v>
      </c>
      <c r="F18" s="37">
        <f t="shared" si="3"/>
        <v>183</v>
      </c>
      <c r="G18" s="36">
        <v>0.0</v>
      </c>
    </row>
    <row r="19">
      <c r="A19" s="35" t="s">
        <v>33</v>
      </c>
      <c r="B19" s="35" t="s">
        <v>124</v>
      </c>
      <c r="C19" s="35" t="s">
        <v>125</v>
      </c>
      <c r="D19" s="37">
        <f t="shared" si="1"/>
        <v>91</v>
      </c>
      <c r="E19" s="37">
        <f t="shared" si="2"/>
        <v>101</v>
      </c>
      <c r="F19" s="37">
        <f t="shared" si="3"/>
        <v>121</v>
      </c>
      <c r="G19" s="36">
        <v>0.0</v>
      </c>
    </row>
    <row r="20">
      <c r="A20" s="35" t="s">
        <v>33</v>
      </c>
      <c r="B20" s="35" t="s">
        <v>126</v>
      </c>
      <c r="C20" s="35" t="s">
        <v>127</v>
      </c>
      <c r="D20" s="37">
        <f t="shared" si="1"/>
        <v>209</v>
      </c>
      <c r="E20" s="37">
        <f t="shared" si="2"/>
        <v>211</v>
      </c>
      <c r="F20" s="37">
        <f t="shared" si="3"/>
        <v>213</v>
      </c>
      <c r="G20" s="36">
        <v>0.0</v>
      </c>
    </row>
    <row r="21">
      <c r="A21" s="35" t="s">
        <v>33</v>
      </c>
      <c r="B21" s="35" t="s">
        <v>128</v>
      </c>
      <c r="C21" s="35" t="s">
        <v>129</v>
      </c>
      <c r="D21" s="37">
        <f t="shared" si="1"/>
        <v>84</v>
      </c>
      <c r="E21" s="37">
        <f t="shared" si="2"/>
        <v>84</v>
      </c>
      <c r="F21" s="37">
        <f t="shared" si="3"/>
        <v>84</v>
      </c>
      <c r="G21" s="36">
        <v>0.0</v>
      </c>
    </row>
    <row r="22">
      <c r="A22" s="35" t="s">
        <v>33</v>
      </c>
      <c r="B22" s="35" t="s">
        <v>130</v>
      </c>
      <c r="C22" s="35" t="s">
        <v>96</v>
      </c>
      <c r="D22" s="37">
        <f t="shared" si="1"/>
        <v>0</v>
      </c>
      <c r="E22" s="37">
        <f t="shared" si="2"/>
        <v>0</v>
      </c>
      <c r="F22" s="37">
        <f t="shared" si="3"/>
        <v>0</v>
      </c>
      <c r="G22" s="36">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28.25"/>
  </cols>
  <sheetData>
    <row r="1">
      <c r="A1" s="35" t="s">
        <v>9</v>
      </c>
      <c r="B1" s="35" t="s">
        <v>12</v>
      </c>
      <c r="C1" s="35" t="s">
        <v>15</v>
      </c>
      <c r="D1" s="36" t="s">
        <v>18</v>
      </c>
      <c r="E1" s="36" t="s">
        <v>21</v>
      </c>
      <c r="F1" s="36" t="s">
        <v>23</v>
      </c>
      <c r="G1" s="36" t="s">
        <v>25</v>
      </c>
    </row>
    <row r="2">
      <c r="A2" s="35" t="s">
        <v>131</v>
      </c>
      <c r="B2" s="35" t="s">
        <v>132</v>
      </c>
      <c r="C2" s="35" t="s">
        <v>133</v>
      </c>
      <c r="D2" s="37">
        <f t="shared" ref="D2:D15" si="1">HEX2DEC(mid($C2,2,2))</f>
        <v>255</v>
      </c>
      <c r="E2" s="37">
        <f t="shared" ref="E2:E15" si="2">HEX2DEC(mid($C2,4,2))</f>
        <v>208</v>
      </c>
      <c r="F2" s="37">
        <f t="shared" ref="F2:F15" si="3">HEX2DEC(mid($C2,6,2))</f>
        <v>11</v>
      </c>
      <c r="G2" s="36">
        <v>0.0</v>
      </c>
    </row>
    <row r="3">
      <c r="A3" s="35" t="s">
        <v>131</v>
      </c>
      <c r="B3" s="35" t="s">
        <v>134</v>
      </c>
      <c r="C3" s="35" t="s">
        <v>135</v>
      </c>
      <c r="D3" s="37">
        <f t="shared" si="1"/>
        <v>247</v>
      </c>
      <c r="E3" s="37">
        <f t="shared" si="2"/>
        <v>84</v>
      </c>
      <c r="F3" s="37">
        <f t="shared" si="3"/>
        <v>3</v>
      </c>
      <c r="G3" s="36">
        <v>0.0</v>
      </c>
    </row>
    <row r="4">
      <c r="A4" s="35" t="s">
        <v>131</v>
      </c>
      <c r="B4" s="35" t="s">
        <v>136</v>
      </c>
      <c r="C4" s="35" t="s">
        <v>116</v>
      </c>
      <c r="D4" s="37">
        <f t="shared" si="1"/>
        <v>0</v>
      </c>
      <c r="E4" s="37">
        <f t="shared" si="2"/>
        <v>174</v>
      </c>
      <c r="F4" s="37">
        <f t="shared" si="3"/>
        <v>66</v>
      </c>
      <c r="G4" s="36">
        <v>0.0</v>
      </c>
    </row>
    <row r="5">
      <c r="A5" s="35" t="s">
        <v>131</v>
      </c>
      <c r="B5" s="35" t="s">
        <v>137</v>
      </c>
      <c r="C5" s="35" t="s">
        <v>138</v>
      </c>
      <c r="D5" s="37">
        <f t="shared" si="1"/>
        <v>235</v>
      </c>
      <c r="E5" s="37">
        <f t="shared" si="2"/>
        <v>58</v>
      </c>
      <c r="F5" s="37">
        <f t="shared" si="3"/>
        <v>58</v>
      </c>
      <c r="G5" s="36">
        <v>0.0</v>
      </c>
    </row>
    <row r="6">
      <c r="A6" s="35" t="s">
        <v>131</v>
      </c>
      <c r="B6" s="35" t="s">
        <v>139</v>
      </c>
      <c r="C6" s="35" t="s">
        <v>140</v>
      </c>
      <c r="D6" s="37">
        <f t="shared" si="1"/>
        <v>0</v>
      </c>
      <c r="E6" s="37">
        <f t="shared" si="2"/>
        <v>46</v>
      </c>
      <c r="F6" s="37">
        <f t="shared" si="3"/>
        <v>150</v>
      </c>
      <c r="G6" s="36">
        <v>0.0</v>
      </c>
    </row>
    <row r="7">
      <c r="A7" s="35" t="s">
        <v>131</v>
      </c>
      <c r="B7" s="35" t="s">
        <v>141</v>
      </c>
      <c r="C7" s="35" t="s">
        <v>96</v>
      </c>
      <c r="D7" s="37">
        <f t="shared" si="1"/>
        <v>0</v>
      </c>
      <c r="E7" s="37">
        <f t="shared" si="2"/>
        <v>0</v>
      </c>
      <c r="F7" s="37">
        <f t="shared" si="3"/>
        <v>0</v>
      </c>
      <c r="G7" s="36">
        <v>0.0</v>
      </c>
    </row>
    <row r="8">
      <c r="A8" s="35" t="s">
        <v>131</v>
      </c>
      <c r="B8" s="35" t="s">
        <v>142</v>
      </c>
      <c r="C8" s="35" t="s">
        <v>35</v>
      </c>
      <c r="D8" s="37">
        <f t="shared" si="1"/>
        <v>255</v>
      </c>
      <c r="E8" s="37">
        <f t="shared" si="2"/>
        <v>255</v>
      </c>
      <c r="F8" s="37">
        <f t="shared" si="3"/>
        <v>255</v>
      </c>
      <c r="G8" s="36">
        <v>0.0</v>
      </c>
    </row>
    <row r="9">
      <c r="A9" s="35" t="s">
        <v>131</v>
      </c>
      <c r="B9" s="35" t="s">
        <v>143</v>
      </c>
      <c r="C9" s="35" t="s">
        <v>144</v>
      </c>
      <c r="D9" s="37">
        <f t="shared" si="1"/>
        <v>249</v>
      </c>
      <c r="E9" s="37">
        <f t="shared" si="2"/>
        <v>223</v>
      </c>
      <c r="F9" s="37">
        <f t="shared" si="3"/>
        <v>185</v>
      </c>
      <c r="G9" s="36">
        <v>0.0</v>
      </c>
    </row>
    <row r="10">
      <c r="A10" s="35" t="s">
        <v>131</v>
      </c>
      <c r="B10" s="35" t="s">
        <v>145</v>
      </c>
      <c r="C10" s="35" t="s">
        <v>52</v>
      </c>
      <c r="D10" s="37">
        <f t="shared" si="1"/>
        <v>110</v>
      </c>
      <c r="E10" s="37">
        <f t="shared" si="2"/>
        <v>229</v>
      </c>
      <c r="F10" s="37">
        <f t="shared" si="3"/>
        <v>60</v>
      </c>
      <c r="G10" s="36">
        <v>0.0</v>
      </c>
    </row>
    <row r="11">
      <c r="A11" s="35" t="s">
        <v>131</v>
      </c>
      <c r="B11" s="35" t="s">
        <v>146</v>
      </c>
      <c r="C11" s="35" t="s">
        <v>147</v>
      </c>
      <c r="D11" s="37">
        <f t="shared" si="1"/>
        <v>57</v>
      </c>
      <c r="E11" s="37">
        <f t="shared" si="2"/>
        <v>84</v>
      </c>
      <c r="F11" s="37">
        <f t="shared" si="3"/>
        <v>26</v>
      </c>
      <c r="G11" s="36">
        <v>0.0</v>
      </c>
    </row>
    <row r="12">
      <c r="A12" s="35" t="s">
        <v>131</v>
      </c>
      <c r="B12" s="35" t="s">
        <v>148</v>
      </c>
      <c r="C12" s="35" t="s">
        <v>48</v>
      </c>
      <c r="D12" s="37">
        <f t="shared" si="1"/>
        <v>31</v>
      </c>
      <c r="E12" s="37">
        <f t="shared" si="2"/>
        <v>121</v>
      </c>
      <c r="F12" s="37">
        <f t="shared" si="3"/>
        <v>229</v>
      </c>
      <c r="G12" s="36">
        <v>0.0</v>
      </c>
    </row>
    <row r="13">
      <c r="A13" s="35" t="s">
        <v>131</v>
      </c>
      <c r="B13" s="35" t="s">
        <v>149</v>
      </c>
      <c r="C13" s="35" t="s">
        <v>150</v>
      </c>
      <c r="D13" s="37">
        <f t="shared" si="1"/>
        <v>135</v>
      </c>
      <c r="E13" s="37">
        <f t="shared" si="2"/>
        <v>87</v>
      </c>
      <c r="F13" s="37">
        <f t="shared" si="3"/>
        <v>24</v>
      </c>
      <c r="G13" s="36">
        <v>0.0</v>
      </c>
    </row>
    <row r="14">
      <c r="A14" s="35" t="s">
        <v>131</v>
      </c>
      <c r="B14" s="35" t="s">
        <v>151</v>
      </c>
      <c r="C14" s="35" t="s">
        <v>152</v>
      </c>
      <c r="D14" s="37">
        <f t="shared" si="1"/>
        <v>173</v>
      </c>
      <c r="E14" s="37">
        <f t="shared" si="2"/>
        <v>177</v>
      </c>
      <c r="F14" s="37">
        <f t="shared" si="3"/>
        <v>178</v>
      </c>
      <c r="G14" s="36">
        <v>0.0</v>
      </c>
    </row>
    <row r="15">
      <c r="A15" s="35" t="s">
        <v>131</v>
      </c>
      <c r="B15" s="35" t="s">
        <v>153</v>
      </c>
      <c r="C15" s="35" t="s">
        <v>154</v>
      </c>
      <c r="D15" s="37">
        <f t="shared" si="1"/>
        <v>81</v>
      </c>
      <c r="E15" s="37">
        <f t="shared" si="2"/>
        <v>81</v>
      </c>
      <c r="F15" s="37">
        <f t="shared" si="3"/>
        <v>81</v>
      </c>
      <c r="G15" s="36">
        <v>0.0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8.25"/>
  </cols>
  <sheetData>
    <row r="1">
      <c r="A1" s="35" t="s">
        <v>9</v>
      </c>
      <c r="B1" s="35" t="s">
        <v>12</v>
      </c>
      <c r="C1" s="35" t="s">
        <v>15</v>
      </c>
      <c r="D1" s="36" t="s">
        <v>18</v>
      </c>
      <c r="E1" s="36" t="s">
        <v>21</v>
      </c>
      <c r="F1" s="36" t="s">
        <v>23</v>
      </c>
      <c r="G1" s="36" t="s">
        <v>25</v>
      </c>
    </row>
    <row r="2">
      <c r="A2" s="35" t="s">
        <v>63</v>
      </c>
      <c r="B2" s="35" t="s">
        <v>64</v>
      </c>
      <c r="C2" s="35" t="s">
        <v>35</v>
      </c>
      <c r="D2" s="37">
        <f t="shared" ref="D2:D18" si="1">HEX2DEC(mid($C2,2,2))</f>
        <v>255</v>
      </c>
      <c r="E2" s="37">
        <f t="shared" ref="E2:E18" si="2">HEX2DEC(mid($C2,4,2))</f>
        <v>255</v>
      </c>
      <c r="F2" s="37">
        <f t="shared" ref="F2:F18" si="3">HEX2DEC(mid($C2,6,2))</f>
        <v>255</v>
      </c>
      <c r="G2" s="36">
        <v>0.0</v>
      </c>
    </row>
    <row r="3">
      <c r="A3" s="35" t="s">
        <v>63</v>
      </c>
      <c r="B3" s="35" t="s">
        <v>65</v>
      </c>
      <c r="C3" s="35" t="s">
        <v>66</v>
      </c>
      <c r="D3" s="37">
        <f t="shared" si="1"/>
        <v>211</v>
      </c>
      <c r="E3" s="37">
        <f t="shared" si="2"/>
        <v>183</v>
      </c>
      <c r="F3" s="37">
        <f t="shared" si="3"/>
        <v>167</v>
      </c>
      <c r="G3" s="36">
        <v>0.0</v>
      </c>
    </row>
    <row r="4">
      <c r="A4" s="35" t="s">
        <v>63</v>
      </c>
      <c r="B4" s="35" t="s">
        <v>67</v>
      </c>
      <c r="C4" s="35" t="s">
        <v>68</v>
      </c>
      <c r="D4" s="37">
        <f t="shared" si="1"/>
        <v>232</v>
      </c>
      <c r="E4" s="37">
        <f t="shared" si="2"/>
        <v>219</v>
      </c>
      <c r="F4" s="37">
        <f t="shared" si="3"/>
        <v>183</v>
      </c>
      <c r="G4" s="36">
        <v>0.0</v>
      </c>
    </row>
    <row r="5">
      <c r="A5" s="35" t="s">
        <v>63</v>
      </c>
      <c r="B5" s="35" t="s">
        <v>69</v>
      </c>
      <c r="C5" s="35" t="s">
        <v>70</v>
      </c>
      <c r="D5" s="37">
        <f t="shared" si="1"/>
        <v>155</v>
      </c>
      <c r="E5" s="37">
        <f t="shared" si="2"/>
        <v>158</v>
      </c>
      <c r="F5" s="37">
        <f t="shared" si="3"/>
        <v>160</v>
      </c>
      <c r="G5" s="36">
        <v>0.0</v>
      </c>
    </row>
    <row r="6">
      <c r="A6" s="35" t="s">
        <v>63</v>
      </c>
      <c r="B6" s="35" t="s">
        <v>71</v>
      </c>
      <c r="C6" s="35" t="s">
        <v>72</v>
      </c>
      <c r="D6" s="37">
        <f t="shared" si="1"/>
        <v>174</v>
      </c>
      <c r="E6" s="37">
        <f t="shared" si="2"/>
        <v>150</v>
      </c>
      <c r="F6" s="37">
        <f t="shared" si="3"/>
        <v>212</v>
      </c>
      <c r="G6" s="36">
        <v>0.0</v>
      </c>
    </row>
    <row r="7">
      <c r="A7" s="35" t="s">
        <v>63</v>
      </c>
      <c r="B7" s="35" t="s">
        <v>73</v>
      </c>
      <c r="C7" s="35" t="s">
        <v>74</v>
      </c>
      <c r="D7" s="37">
        <f t="shared" si="1"/>
        <v>232</v>
      </c>
      <c r="E7" s="37">
        <f t="shared" si="2"/>
        <v>175</v>
      </c>
      <c r="F7" s="37">
        <f t="shared" si="3"/>
        <v>207</v>
      </c>
      <c r="G7" s="36">
        <v>0.0</v>
      </c>
    </row>
    <row r="8">
      <c r="A8" s="35" t="s">
        <v>63</v>
      </c>
      <c r="B8" s="35" t="s">
        <v>75</v>
      </c>
      <c r="C8" s="35" t="s">
        <v>76</v>
      </c>
      <c r="D8" s="37">
        <f t="shared" si="1"/>
        <v>249</v>
      </c>
      <c r="E8" s="37">
        <f t="shared" si="2"/>
        <v>153</v>
      </c>
      <c r="F8" s="37">
        <f t="shared" si="3"/>
        <v>99</v>
      </c>
      <c r="G8" s="36">
        <v>0.0</v>
      </c>
    </row>
    <row r="9">
      <c r="A9" s="35" t="s">
        <v>63</v>
      </c>
      <c r="B9" s="35" t="s">
        <v>77</v>
      </c>
      <c r="C9" s="35" t="s">
        <v>78</v>
      </c>
      <c r="D9" s="37">
        <f t="shared" si="1"/>
        <v>247</v>
      </c>
      <c r="E9" s="37">
        <f t="shared" si="2"/>
        <v>217</v>
      </c>
      <c r="F9" s="37">
        <f t="shared" si="3"/>
        <v>89</v>
      </c>
      <c r="G9" s="36">
        <v>0.0</v>
      </c>
    </row>
    <row r="10">
      <c r="A10" s="35" t="s">
        <v>63</v>
      </c>
      <c r="B10" s="35" t="s">
        <v>79</v>
      </c>
      <c r="C10" s="35" t="s">
        <v>80</v>
      </c>
      <c r="D10" s="37">
        <f t="shared" si="1"/>
        <v>222</v>
      </c>
      <c r="E10" s="37">
        <f t="shared" si="2"/>
        <v>67</v>
      </c>
      <c r="F10" s="37">
        <f t="shared" si="3"/>
        <v>67</v>
      </c>
      <c r="G10" s="36">
        <v>0.0</v>
      </c>
    </row>
    <row r="11">
      <c r="A11" s="35" t="s">
        <v>63</v>
      </c>
      <c r="B11" s="35" t="s">
        <v>81</v>
      </c>
      <c r="C11" s="35" t="s">
        <v>82</v>
      </c>
      <c r="D11" s="37">
        <f t="shared" si="1"/>
        <v>187</v>
      </c>
      <c r="E11" s="37">
        <f t="shared" si="2"/>
        <v>61</v>
      </c>
      <c r="F11" s="37">
        <f t="shared" si="3"/>
        <v>67</v>
      </c>
      <c r="G11" s="36">
        <v>0.0</v>
      </c>
    </row>
    <row r="12">
      <c r="A12" s="35" t="s">
        <v>63</v>
      </c>
      <c r="B12" s="35" t="s">
        <v>83</v>
      </c>
      <c r="C12" s="35" t="s">
        <v>84</v>
      </c>
      <c r="D12" s="37">
        <f t="shared" si="1"/>
        <v>125</v>
      </c>
      <c r="E12" s="37">
        <f t="shared" si="2"/>
        <v>101</v>
      </c>
      <c r="F12" s="37">
        <f t="shared" si="3"/>
        <v>86</v>
      </c>
      <c r="G12" s="36">
        <v>0.0</v>
      </c>
    </row>
    <row r="13">
      <c r="A13" s="35" t="s">
        <v>63</v>
      </c>
      <c r="B13" s="35" t="s">
        <v>85</v>
      </c>
      <c r="C13" s="35" t="s">
        <v>86</v>
      </c>
      <c r="D13" s="37">
        <f t="shared" si="1"/>
        <v>104</v>
      </c>
      <c r="E13" s="37">
        <f t="shared" si="2"/>
        <v>114</v>
      </c>
      <c r="F13" s="37">
        <f t="shared" si="3"/>
        <v>77</v>
      </c>
      <c r="G13" s="36">
        <v>0.0</v>
      </c>
    </row>
    <row r="14">
      <c r="A14" s="35" t="s">
        <v>63</v>
      </c>
      <c r="B14" s="35" t="s">
        <v>87</v>
      </c>
      <c r="C14" s="35" t="s">
        <v>88</v>
      </c>
      <c r="D14" s="37">
        <f t="shared" si="1"/>
        <v>97</v>
      </c>
      <c r="E14" s="37">
        <f t="shared" si="2"/>
        <v>198</v>
      </c>
      <c r="F14" s="37">
        <f t="shared" si="3"/>
        <v>128</v>
      </c>
      <c r="G14" s="36">
        <v>0.0</v>
      </c>
    </row>
    <row r="15">
      <c r="A15" s="35" t="s">
        <v>63</v>
      </c>
      <c r="B15" s="35" t="s">
        <v>89</v>
      </c>
      <c r="C15" s="35" t="s">
        <v>90</v>
      </c>
      <c r="D15" s="37">
        <f t="shared" si="1"/>
        <v>163</v>
      </c>
      <c r="E15" s="37">
        <f t="shared" si="2"/>
        <v>216</v>
      </c>
      <c r="F15" s="37">
        <f t="shared" si="3"/>
        <v>225</v>
      </c>
      <c r="G15" s="36">
        <v>0.0</v>
      </c>
    </row>
    <row r="16">
      <c r="A16" s="35" t="s">
        <v>63</v>
      </c>
      <c r="B16" s="35" t="s">
        <v>91</v>
      </c>
      <c r="C16" s="35" t="s">
        <v>92</v>
      </c>
      <c r="D16" s="37">
        <f t="shared" si="1"/>
        <v>0</v>
      </c>
      <c r="E16" s="37">
        <f t="shared" si="2"/>
        <v>120</v>
      </c>
      <c r="F16" s="37">
        <f t="shared" si="3"/>
        <v>191</v>
      </c>
      <c r="G16" s="36">
        <v>0.0</v>
      </c>
    </row>
    <row r="17">
      <c r="A17" s="35" t="s">
        <v>63</v>
      </c>
      <c r="B17" s="35" t="s">
        <v>93</v>
      </c>
      <c r="C17" s="35" t="s">
        <v>94</v>
      </c>
      <c r="D17" s="37">
        <f t="shared" si="1"/>
        <v>4</v>
      </c>
      <c r="E17" s="37">
        <f t="shared" si="2"/>
        <v>47</v>
      </c>
      <c r="F17" s="37">
        <f t="shared" si="3"/>
        <v>86</v>
      </c>
      <c r="G17" s="36">
        <v>0.0</v>
      </c>
    </row>
    <row r="18">
      <c r="A18" s="35" t="s">
        <v>63</v>
      </c>
      <c r="B18" s="35" t="s">
        <v>95</v>
      </c>
      <c r="C18" s="35" t="s">
        <v>96</v>
      </c>
      <c r="D18" s="37">
        <f t="shared" si="1"/>
        <v>0</v>
      </c>
      <c r="E18" s="37">
        <f t="shared" si="2"/>
        <v>0</v>
      </c>
      <c r="F18" s="37">
        <f t="shared" si="3"/>
        <v>0</v>
      </c>
      <c r="G18" s="36">
        <v>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8.25"/>
  </cols>
  <sheetData>
    <row r="1">
      <c r="A1" s="35" t="s">
        <v>9</v>
      </c>
      <c r="B1" s="35" t="s">
        <v>12</v>
      </c>
      <c r="C1" s="35" t="s">
        <v>15</v>
      </c>
      <c r="D1" s="36" t="s">
        <v>18</v>
      </c>
      <c r="E1" s="36" t="s">
        <v>21</v>
      </c>
      <c r="F1" s="36" t="s">
        <v>23</v>
      </c>
      <c r="G1" s="36" t="s">
        <v>25</v>
      </c>
    </row>
    <row r="2">
      <c r="A2" s="35" t="s">
        <v>33</v>
      </c>
      <c r="B2" s="35" t="s">
        <v>155</v>
      </c>
      <c r="C2" s="35" t="s">
        <v>35</v>
      </c>
      <c r="D2" s="37">
        <f t="shared" ref="D2:D9" si="1">HEX2DEC(mid($C2,2,2))</f>
        <v>255</v>
      </c>
      <c r="E2" s="37">
        <f t="shared" ref="E2:E9" si="2">HEX2DEC(mid($C2,4,2))</f>
        <v>255</v>
      </c>
      <c r="F2" s="37">
        <f t="shared" ref="F2:F9" si="3">HEX2DEC(mid($C2,6,2))</f>
        <v>255</v>
      </c>
      <c r="G2" s="36">
        <v>0.0</v>
      </c>
    </row>
    <row r="3">
      <c r="A3" s="35" t="s">
        <v>33</v>
      </c>
      <c r="B3" s="35" t="s">
        <v>156</v>
      </c>
      <c r="C3" s="35" t="s">
        <v>157</v>
      </c>
      <c r="D3" s="37">
        <f t="shared" si="1"/>
        <v>234</v>
      </c>
      <c r="E3" s="37">
        <f t="shared" si="2"/>
        <v>236</v>
      </c>
      <c r="F3" s="37">
        <f t="shared" si="3"/>
        <v>235</v>
      </c>
      <c r="G3" s="36">
        <v>0.0</v>
      </c>
    </row>
    <row r="4">
      <c r="A4" s="35" t="s">
        <v>33</v>
      </c>
      <c r="B4" s="35" t="s">
        <v>158</v>
      </c>
      <c r="C4" s="35" t="s">
        <v>159</v>
      </c>
      <c r="D4" s="37">
        <f t="shared" si="1"/>
        <v>238</v>
      </c>
      <c r="E4" s="37">
        <f t="shared" si="2"/>
        <v>177</v>
      </c>
      <c r="F4" s="37">
        <f t="shared" si="3"/>
        <v>193</v>
      </c>
      <c r="G4" s="36">
        <v>0.0</v>
      </c>
    </row>
    <row r="5">
      <c r="A5" s="35" t="s">
        <v>33</v>
      </c>
      <c r="B5" s="35" t="s">
        <v>160</v>
      </c>
      <c r="C5" s="35" t="s">
        <v>161</v>
      </c>
      <c r="D5" s="37">
        <f t="shared" si="1"/>
        <v>76</v>
      </c>
      <c r="E5" s="37">
        <f t="shared" si="2"/>
        <v>228</v>
      </c>
      <c r="F5" s="37">
        <f t="shared" si="3"/>
        <v>160</v>
      </c>
      <c r="G5" s="36">
        <v>0.0</v>
      </c>
    </row>
    <row r="6">
      <c r="A6" s="35" t="s">
        <v>33</v>
      </c>
      <c r="B6" s="35" t="s">
        <v>162</v>
      </c>
      <c r="C6" s="35" t="s">
        <v>163</v>
      </c>
      <c r="D6" s="37">
        <f t="shared" si="1"/>
        <v>229</v>
      </c>
      <c r="E6" s="37">
        <f t="shared" si="2"/>
        <v>176</v>
      </c>
      <c r="F6" s="37">
        <f t="shared" si="3"/>
        <v>61</v>
      </c>
      <c r="G6" s="36">
        <v>0.0</v>
      </c>
    </row>
    <row r="7">
      <c r="A7" s="35" t="s">
        <v>33</v>
      </c>
      <c r="B7" s="35" t="s">
        <v>164</v>
      </c>
      <c r="C7" s="35" t="s">
        <v>165</v>
      </c>
      <c r="D7" s="37">
        <f t="shared" si="1"/>
        <v>20</v>
      </c>
      <c r="E7" s="37">
        <f t="shared" si="2"/>
        <v>123</v>
      </c>
      <c r="F7" s="37">
        <f t="shared" si="3"/>
        <v>209</v>
      </c>
      <c r="G7" s="36">
        <v>0.0</v>
      </c>
    </row>
    <row r="8">
      <c r="A8" s="35" t="s">
        <v>33</v>
      </c>
      <c r="B8" s="35" t="s">
        <v>166</v>
      </c>
      <c r="C8" s="35" t="s">
        <v>167</v>
      </c>
      <c r="D8" s="37">
        <f t="shared" si="1"/>
        <v>133</v>
      </c>
      <c r="E8" s="37">
        <f t="shared" si="2"/>
        <v>76</v>
      </c>
      <c r="F8" s="37">
        <f t="shared" si="3"/>
        <v>228</v>
      </c>
      <c r="G8" s="36">
        <v>0.0</v>
      </c>
    </row>
    <row r="9">
      <c r="A9" s="35" t="s">
        <v>33</v>
      </c>
      <c r="B9" s="35" t="s">
        <v>168</v>
      </c>
      <c r="C9" s="35" t="s">
        <v>169</v>
      </c>
      <c r="D9" s="37">
        <f t="shared" si="1"/>
        <v>94</v>
      </c>
      <c r="E9" s="37">
        <f t="shared" si="2"/>
        <v>75</v>
      </c>
      <c r="F9" s="37">
        <f t="shared" si="3"/>
        <v>60</v>
      </c>
      <c r="G9" s="36">
        <v>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28.25"/>
  </cols>
  <sheetData>
    <row r="1">
      <c r="A1" s="35" t="s">
        <v>9</v>
      </c>
      <c r="B1" s="35" t="s">
        <v>12</v>
      </c>
      <c r="C1" s="35" t="s">
        <v>15</v>
      </c>
      <c r="D1" s="36" t="s">
        <v>18</v>
      </c>
      <c r="E1" s="36" t="s">
        <v>21</v>
      </c>
      <c r="F1" s="36" t="s">
        <v>23</v>
      </c>
      <c r="G1" s="36" t="s">
        <v>25</v>
      </c>
    </row>
    <row r="2">
      <c r="A2" s="35" t="s">
        <v>40</v>
      </c>
      <c r="B2" s="35" t="s">
        <v>41</v>
      </c>
      <c r="C2" s="35" t="s">
        <v>42</v>
      </c>
      <c r="D2" s="37">
        <f t="shared" ref="D2:D10" si="1">HEX2DEC(mid($C2,2,2))</f>
        <v>142</v>
      </c>
      <c r="E2" s="37">
        <f t="shared" ref="E2:E10" si="2">HEX2DEC(mid($C2,4,2))</f>
        <v>142</v>
      </c>
      <c r="F2" s="37">
        <f t="shared" ref="F2:F10" si="3">HEX2DEC(mid($C2,6,2))</f>
        <v>142</v>
      </c>
      <c r="G2" s="36">
        <v>0.0</v>
      </c>
    </row>
    <row r="3">
      <c r="A3" s="35" t="s">
        <v>40</v>
      </c>
      <c r="B3" s="35" t="s">
        <v>43</v>
      </c>
      <c r="C3" s="35" t="s">
        <v>44</v>
      </c>
      <c r="D3" s="37">
        <f t="shared" si="1"/>
        <v>97</v>
      </c>
      <c r="E3" s="37">
        <f t="shared" si="2"/>
        <v>176</v>
      </c>
      <c r="F3" s="37">
        <f t="shared" si="3"/>
        <v>255</v>
      </c>
      <c r="G3" s="36">
        <v>0.0</v>
      </c>
    </row>
    <row r="4">
      <c r="A4" s="35" t="s">
        <v>40</v>
      </c>
      <c r="B4" s="35" t="s">
        <v>45</v>
      </c>
      <c r="C4" s="35" t="s">
        <v>46</v>
      </c>
      <c r="D4" s="37">
        <f t="shared" si="1"/>
        <v>116</v>
      </c>
      <c r="E4" s="37">
        <f t="shared" si="2"/>
        <v>140</v>
      </c>
      <c r="F4" s="37">
        <f t="shared" si="3"/>
        <v>69</v>
      </c>
      <c r="G4" s="36">
        <v>0.0</v>
      </c>
    </row>
    <row r="5">
      <c r="A5" s="35" t="s">
        <v>40</v>
      </c>
      <c r="B5" s="35" t="s">
        <v>170</v>
      </c>
      <c r="C5" s="35" t="s">
        <v>171</v>
      </c>
      <c r="D5" s="37">
        <f t="shared" si="1"/>
        <v>201</v>
      </c>
      <c r="E5" s="37">
        <f t="shared" si="2"/>
        <v>163</v>
      </c>
      <c r="F5" s="37">
        <f t="shared" si="3"/>
        <v>129</v>
      </c>
      <c r="G5" s="36">
        <v>0.0</v>
      </c>
    </row>
    <row r="6">
      <c r="A6" s="35" t="s">
        <v>40</v>
      </c>
      <c r="B6" s="35" t="s">
        <v>172</v>
      </c>
      <c r="C6" s="35" t="s">
        <v>173</v>
      </c>
      <c r="D6" s="37">
        <f t="shared" si="1"/>
        <v>119</v>
      </c>
      <c r="E6" s="37">
        <f t="shared" si="2"/>
        <v>237</v>
      </c>
      <c r="F6" s="37">
        <f t="shared" si="3"/>
        <v>215</v>
      </c>
      <c r="G6" s="36">
        <v>0.0</v>
      </c>
    </row>
    <row r="7">
      <c r="A7" s="35" t="s">
        <v>40</v>
      </c>
      <c r="B7" s="35" t="s">
        <v>174</v>
      </c>
      <c r="C7" s="35" t="s">
        <v>175</v>
      </c>
      <c r="D7" s="37">
        <f t="shared" si="1"/>
        <v>255</v>
      </c>
      <c r="E7" s="37">
        <f t="shared" si="2"/>
        <v>145</v>
      </c>
      <c r="F7" s="37">
        <f t="shared" si="3"/>
        <v>26</v>
      </c>
      <c r="G7" s="36">
        <v>0.0</v>
      </c>
    </row>
    <row r="8">
      <c r="A8" s="35" t="s">
        <v>40</v>
      </c>
      <c r="B8" s="35" t="s">
        <v>176</v>
      </c>
      <c r="C8" s="35" t="s">
        <v>177</v>
      </c>
      <c r="D8" s="37">
        <f t="shared" si="1"/>
        <v>214</v>
      </c>
      <c r="E8" s="37">
        <f t="shared" si="2"/>
        <v>171</v>
      </c>
      <c r="F8" s="37">
        <f t="shared" si="3"/>
        <v>255</v>
      </c>
      <c r="G8" s="36">
        <v>0.0</v>
      </c>
    </row>
    <row r="9">
      <c r="A9" s="35" t="s">
        <v>40</v>
      </c>
      <c r="B9" s="35" t="s">
        <v>178</v>
      </c>
      <c r="C9" s="35" t="s">
        <v>179</v>
      </c>
      <c r="D9" s="37">
        <f t="shared" si="1"/>
        <v>249</v>
      </c>
      <c r="E9" s="37">
        <f t="shared" si="2"/>
        <v>193</v>
      </c>
      <c r="F9" s="37">
        <f t="shared" si="3"/>
        <v>189</v>
      </c>
      <c r="G9" s="36">
        <v>0.0</v>
      </c>
    </row>
    <row r="10">
      <c r="A10" s="35" t="s">
        <v>40</v>
      </c>
      <c r="B10" s="35" t="s">
        <v>180</v>
      </c>
      <c r="C10" s="35" t="s">
        <v>181</v>
      </c>
      <c r="D10" s="37">
        <f t="shared" si="1"/>
        <v>250</v>
      </c>
      <c r="E10" s="37">
        <f t="shared" si="2"/>
        <v>250</v>
      </c>
      <c r="F10" s="37">
        <f t="shared" si="3"/>
        <v>250</v>
      </c>
      <c r="G10" s="36">
        <v>0.0</v>
      </c>
    </row>
    <row r="11">
      <c r="D11" s="37"/>
      <c r="E11" s="37"/>
      <c r="F11" s="37"/>
      <c r="G11" s="36"/>
    </row>
    <row r="12">
      <c r="D12" s="37"/>
      <c r="E12" s="37"/>
      <c r="F12" s="37"/>
      <c r="G12" s="36"/>
    </row>
    <row r="13">
      <c r="D13" s="37"/>
      <c r="E13" s="37"/>
      <c r="F13" s="37"/>
      <c r="G13" s="36"/>
    </row>
    <row r="14">
      <c r="D14" s="37"/>
      <c r="E14" s="37"/>
      <c r="F14" s="37"/>
      <c r="G14" s="36"/>
    </row>
    <row r="15">
      <c r="D15" s="37"/>
      <c r="E15" s="37"/>
      <c r="F15" s="37"/>
      <c r="G15" s="36"/>
    </row>
  </sheetData>
  <drawing r:id="rId1"/>
</worksheet>
</file>